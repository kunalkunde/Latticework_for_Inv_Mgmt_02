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2234f8afc0825c2/Documents/AutoDidactic/Claude Code/010_Financial_themes_and_analogies/002_Standard_Basket_for_Inflation/"/>
    </mc:Choice>
  </mc:AlternateContent>
  <xr:revisionPtr revIDLastSave="19" documentId="13_ncr:1_{B6C39097-8DD9-4E74-96EA-918AD544CC5C}" xr6:coauthVersionLast="47" xr6:coauthVersionMax="47" xr10:uidLastSave="{ED4E2FE7-A593-418F-AA15-C685580C89E3}"/>
  <bookViews>
    <workbookView xWindow="-110" yWindow="-110" windowWidth="19420" windowHeight="11500" activeTab="1" xr2:uid="{00000000-000D-0000-FFFF-FFFF00000000}"/>
  </bookViews>
  <sheets>
    <sheet name="README" sheetId="1" r:id="rId1"/>
    <sheet name="Analogy" sheetId="2" r:id="rId2"/>
    <sheet name="Summary" sheetId="3" r:id="rId3"/>
    <sheet name="Basket" sheetId="4" r:id="rId4"/>
    <sheet name="Adjustments" sheetId="5" r:id="rId5"/>
    <sheet name="Your_Basket" sheetId="6" r:id="rId6"/>
    <sheet name="Over_Time" sheetId="7" r:id="rId7"/>
  </sheets>
  <definedNames>
    <definedName name="adj_hed">Adjustments!$B$28</definedName>
    <definedName name="adj_sub">Adjustments!$B$16</definedName>
    <definedName name="adj_tot">Adjustments!$B$31</definedName>
    <definedName name="cat_name">Basket!$A$10:$A$17</definedName>
    <definedName name="cpi_gap">Basket!$D$30</definedName>
    <definedName name="cpi_lived">Basket!$D$28</definedName>
    <definedName name="cpi_meas">Basket!$D$25</definedName>
    <definedName name="cpi_raw">Basket!$D$22</definedName>
    <definedName name="half_year">Over_Time!$D$32</definedName>
    <definedName name="idx_wt_tot">Basket!$B$18</definedName>
    <definedName name="ot_hh">Over_Time!$E$24</definedName>
    <definedName name="ot_idx">Over_Time!$D$24</definedName>
    <definedName name="pp_kept">Over_Time!$D$30</definedName>
    <definedName name="px_chg">Basket!$D$10:$D$17</definedName>
    <definedName name="w_hh">Basket!$C$10:$C$17</definedName>
    <definedName name="w_idx">Basket!$B$10:$B$17</definedName>
    <definedName name="yb_diff">Your_Basket!$B$27</definedName>
    <definedName name="yb_gap">Your_Basket!$B$22</definedName>
    <definedName name="yb_inc">Your_Basket!$B$25</definedName>
    <definedName name="yb_infl">Your_Basket!$B$20</definedName>
    <definedName name="yb_spend">Your_Basket!$B$17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5" l="1"/>
  <c r="G9" i="7"/>
  <c r="B17" i="6"/>
  <c r="C15" i="6" s="1"/>
  <c r="F16" i="6"/>
  <c r="D16" i="6"/>
  <c r="F15" i="6"/>
  <c r="D15" i="6"/>
  <c r="F14" i="6"/>
  <c r="D14" i="6"/>
  <c r="F13" i="6"/>
  <c r="D13" i="6"/>
  <c r="F12" i="6"/>
  <c r="D12" i="6"/>
  <c r="F11" i="6"/>
  <c r="D11" i="6"/>
  <c r="F10" i="6"/>
  <c r="D10" i="6"/>
  <c r="F9" i="6"/>
  <c r="D9" i="6"/>
  <c r="B26" i="5"/>
  <c r="B27" i="5" s="1"/>
  <c r="B15" i="5"/>
  <c r="B11" i="5"/>
  <c r="C18" i="4"/>
  <c r="C19" i="4" s="1"/>
  <c r="B18" i="4"/>
  <c r="B19" i="4" s="1"/>
  <c r="F17" i="4"/>
  <c r="G17" i="4" s="1"/>
  <c r="E17" i="4"/>
  <c r="F16" i="4"/>
  <c r="G16" i="4" s="1"/>
  <c r="E16" i="4"/>
  <c r="F15" i="4"/>
  <c r="G15" i="4" s="1"/>
  <c r="E15" i="4"/>
  <c r="F14" i="4"/>
  <c r="E14" i="4"/>
  <c r="F13" i="4"/>
  <c r="E13" i="4"/>
  <c r="F12" i="4"/>
  <c r="E12" i="4"/>
  <c r="F11" i="4"/>
  <c r="G11" i="4" s="1"/>
  <c r="E11" i="4"/>
  <c r="F10" i="4"/>
  <c r="E10" i="4"/>
  <c r="B28" i="5" l="1"/>
  <c r="B15" i="3" s="1"/>
  <c r="C10" i="6"/>
  <c r="E10" i="6" s="1"/>
  <c r="G12" i="4"/>
  <c r="G13" i="4"/>
  <c r="G10" i="6"/>
  <c r="B16" i="5"/>
  <c r="B14" i="3" s="1"/>
  <c r="G14" i="4"/>
  <c r="F18" i="4"/>
  <c r="D27" i="4" s="1"/>
  <c r="D28" i="4" s="1"/>
  <c r="C18" i="7" s="1"/>
  <c r="C9" i="6"/>
  <c r="E9" i="6" s="1"/>
  <c r="C13" i="6"/>
  <c r="G13" i="6" s="1"/>
  <c r="D17" i="6"/>
  <c r="E18" i="4"/>
  <c r="D22" i="4" s="1"/>
  <c r="B32" i="5" s="1"/>
  <c r="G9" i="6"/>
  <c r="C22" i="7"/>
  <c r="C10" i="7"/>
  <c r="E10" i="7" s="1"/>
  <c r="C15" i="7"/>
  <c r="C20" i="7"/>
  <c r="C13" i="7"/>
  <c r="C16" i="7"/>
  <c r="B9" i="3"/>
  <c r="C17" i="7"/>
  <c r="C21" i="7"/>
  <c r="C14" i="7"/>
  <c r="C19" i="7"/>
  <c r="B9" i="2"/>
  <c r="C24" i="7"/>
  <c r="C12" i="7"/>
  <c r="G15" i="6"/>
  <c r="E15" i="6"/>
  <c r="C11" i="6"/>
  <c r="C16" i="6"/>
  <c r="B23" i="6"/>
  <c r="C14" i="6"/>
  <c r="C12" i="6"/>
  <c r="G10" i="4"/>
  <c r="B31" i="5" l="1"/>
  <c r="D24" i="4"/>
  <c r="D37" i="4"/>
  <c r="B13" i="3"/>
  <c r="D23" i="4"/>
  <c r="D25" i="4" s="1"/>
  <c r="B18" i="7" s="1"/>
  <c r="E13" i="6"/>
  <c r="C11" i="7"/>
  <c r="C23" i="7"/>
  <c r="C17" i="6"/>
  <c r="B17" i="7"/>
  <c r="G16" i="6"/>
  <c r="E16" i="6"/>
  <c r="G11" i="6"/>
  <c r="G17" i="6" s="1"/>
  <c r="B20" i="6" s="1"/>
  <c r="E11" i="6"/>
  <c r="E17" i="6" s="1"/>
  <c r="B34" i="4"/>
  <c r="G18" i="4"/>
  <c r="D36" i="4" s="1"/>
  <c r="D38" i="4" s="1"/>
  <c r="D33" i="4"/>
  <c r="B33" i="4"/>
  <c r="D35" i="4"/>
  <c r="B35" i="4"/>
  <c r="D34" i="4"/>
  <c r="E12" i="6"/>
  <c r="G12" i="6"/>
  <c r="G14" i="6"/>
  <c r="E14" i="6"/>
  <c r="E11" i="7"/>
  <c r="E12" i="7" s="1"/>
  <c r="E13" i="7" s="1"/>
  <c r="E14" i="7" s="1"/>
  <c r="E15" i="7" s="1"/>
  <c r="E16" i="7" s="1"/>
  <c r="E17" i="7" s="1"/>
  <c r="E18" i="7" s="1"/>
  <c r="E19" i="7" s="1"/>
  <c r="E20" i="7" s="1"/>
  <c r="E21" i="7" s="1"/>
  <c r="E22" i="7" s="1"/>
  <c r="E23" i="7" s="1"/>
  <c r="E24" i="7" s="1"/>
  <c r="B14" i="7" l="1"/>
  <c r="B10" i="7"/>
  <c r="D10" i="7" s="1"/>
  <c r="B22" i="7"/>
  <c r="B8" i="2"/>
  <c r="B19" i="7"/>
  <c r="B21" i="7"/>
  <c r="B16" i="7"/>
  <c r="B21" i="6"/>
  <c r="B26" i="6" s="1"/>
  <c r="B11" i="7"/>
  <c r="B13" i="7"/>
  <c r="B20" i="7"/>
  <c r="B12" i="7"/>
  <c r="B8" i="3"/>
  <c r="D30" i="4"/>
  <c r="B16" i="3" s="1"/>
  <c r="B15" i="7"/>
  <c r="B33" i="5"/>
  <c r="B23" i="7"/>
  <c r="B24" i="7"/>
  <c r="F10" i="7"/>
  <c r="B19" i="3"/>
  <c r="D28" i="7"/>
  <c r="B26" i="3"/>
  <c r="B24" i="6"/>
  <c r="B25" i="6" s="1"/>
  <c r="B22" i="6" l="1"/>
  <c r="B20" i="3" s="1"/>
  <c r="D39" i="4"/>
  <c r="B10" i="3"/>
  <c r="D11" i="7"/>
  <c r="D12" i="7" s="1"/>
  <c r="D13" i="7" s="1"/>
  <c r="D14" i="7" s="1"/>
  <c r="D15" i="7" s="1"/>
  <c r="D16" i="7" s="1"/>
  <c r="D17" i="7" s="1"/>
  <c r="D18" i="7" s="1"/>
  <c r="D19" i="7" s="1"/>
  <c r="D20" i="7" s="1"/>
  <c r="D21" i="7" s="1"/>
  <c r="D22" i="7" s="1"/>
  <c r="D23" i="7" s="1"/>
  <c r="D24" i="7" s="1"/>
  <c r="D27" i="7" s="1"/>
  <c r="B27" i="6"/>
  <c r="B22" i="3" s="1"/>
  <c r="B21" i="3"/>
  <c r="F11" i="7"/>
  <c r="G10" i="7"/>
  <c r="H10" i="7" s="1"/>
  <c r="D29" i="7" l="1"/>
  <c r="B25" i="3"/>
  <c r="G11" i="7"/>
  <c r="H11" i="7" s="1"/>
  <c r="F12" i="7"/>
  <c r="F13" i="7" l="1"/>
  <c r="G12" i="7"/>
  <c r="H12" i="7" s="1"/>
  <c r="F14" i="7" l="1"/>
  <c r="G13" i="7"/>
  <c r="H13" i="7" s="1"/>
  <c r="G14" i="7" l="1"/>
  <c r="H14" i="7" s="1"/>
  <c r="F15" i="7"/>
  <c r="F16" i="7" l="1"/>
  <c r="G15" i="7"/>
  <c r="H15" i="7" s="1"/>
  <c r="G16" i="7" l="1"/>
  <c r="H16" i="7" s="1"/>
  <c r="F17" i="7"/>
  <c r="F18" i="7" l="1"/>
  <c r="G17" i="7"/>
  <c r="H17" i="7" s="1"/>
  <c r="G18" i="7" l="1"/>
  <c r="H18" i="7" s="1"/>
  <c r="F19" i="7"/>
  <c r="G19" i="7" l="1"/>
  <c r="H19" i="7" s="1"/>
  <c r="F20" i="7"/>
  <c r="F21" i="7" l="1"/>
  <c r="G20" i="7"/>
  <c r="H20" i="7" s="1"/>
  <c r="G21" i="7" l="1"/>
  <c r="H21" i="7" s="1"/>
  <c r="F22" i="7"/>
  <c r="F23" i="7" l="1"/>
  <c r="G22" i="7"/>
  <c r="H22" i="7" s="1"/>
  <c r="G23" i="7" l="1"/>
  <c r="H23" i="7" s="1"/>
  <c r="F24" i="7"/>
  <c r="G24" i="7" s="1"/>
  <c r="H24" i="7" s="1"/>
  <c r="D31" i="7" l="1"/>
  <c r="D30" i="7"/>
  <c r="B27" i="3" s="1"/>
  <c r="D32" i="7"/>
  <c r="B28" i="3" s="1"/>
</calcChain>
</file>

<file path=xl/sharedStrings.xml><?xml version="1.0" encoding="utf-8"?>
<sst xmlns="http://schemas.openxmlformats.org/spreadsheetml/2006/main" count="315" uniqueCount="287">
  <si>
    <t>The Standard Basket — the working model</t>
  </si>
  <si>
    <t>A companion workbook to the animation of the same name.</t>
  </si>
  <si>
    <t>The animation asks how a headline number stays calm while a household gets poorer, and answers it with two scales. This workbook is the arithmetic under them: one set of price changes, weighted twice, plus the two adjustments that move the basket before the number moves.</t>
  </si>
  <si>
    <t>WHAT IS IN HERE</t>
  </si>
  <si>
    <t>Summary</t>
  </si>
  <si>
    <t>The whole thing on one page. Start here.</t>
  </si>
  <si>
    <t>Analogy</t>
  </si>
  <si>
    <t>Which frame of the film is which cell, plus a beat sheet and the three things the film left out.</t>
  </si>
  <si>
    <t>Basket</t>
  </si>
  <si>
    <t>The engine. Eight categories, two sets of weights, one shared price column, and the bridge from the raw weighted average to the published headline.</t>
  </si>
  <si>
    <t>Adjustments</t>
  </si>
  <si>
    <t>Substitution and hedonics, each worked through to a drag in percentage points that feeds the headline on the Basket sheet.</t>
  </si>
  <si>
    <t>Your_Basket</t>
  </si>
  <si>
    <t>Type a month of your own spending. The sheet derives your weights and returns your own rate of inflation, and what it costs you in rupees.</t>
  </si>
  <si>
    <t>Over_Time</t>
  </si>
  <si>
    <t>Fifteen years of the same gap, compounding, against an income indexed to the published rate.</t>
  </si>
  <si>
    <t>HOW TO DRIVE IT</t>
  </si>
  <si>
    <t>1.  Open Your_Basket and replace the blue spending column with your own. That is the only sheet most people need.</t>
  </si>
  <si>
    <t>2.  On the Basket sheet, change a price or a weight and watch both headline numbers move together.</t>
  </si>
  <si>
    <t>3.  On Adjustments, set the two share cells to zero. The headline rises by the amount in amber. That is the whole of the substitution and hedonics argument, and it is smaller than most people assume.</t>
  </si>
  <si>
    <t>4.  On Over_Time, overwrite any single year's rate to model a year when the two baskets converge.</t>
  </si>
  <si>
    <t>WHERE THE NUMBERS COME FROM</t>
  </si>
  <si>
    <t>Every figure in this workbook is the animation's own illustrative set. None of it is published data. The weights of 44, 22, 6, 5, 4, 4, 2 and 13 per cent are the bars in the film's weights panel; the price changes for tuition, petrol and rent are the film's amber chips; and the substitution and hedonic assumptions are chosen so that the defaults land on the film's own 4.1 and 11.3 per cent.</t>
  </si>
  <si>
    <t>India's actual Consumer Price Index has a different structure, with more categories, urban and rural variants, and weights drawn from the Consumer Expenditure Survey. If you want the real ones, take them from the Ministry of Statistics and Programme Implementation and paste them into the index weight column of the Basket sheet. Everything downstream will follow, and the sheet will tell you if they no longer sum to a hundred.</t>
  </si>
  <si>
    <t>CONVENTIONS</t>
  </si>
  <si>
    <t>—   Blue is a hardcoded input and yours to change. Black is calculated on the sheet you are looking at. Green is pulled in from another sheet.</t>
  </si>
  <si>
    <t>—   Amber shading marks either a check that must read PASS, or one of the film's four painful categories.</t>
  </si>
  <si>
    <t>—   Weights and rates are stored as fractions and displayed as percentages, so 0.44 renders as 44.0 per cent.</t>
  </si>
  <si>
    <t>—   A contribution is a weight multiplied by a price change, so it is already in percentage points and the column sums to the inflation rate. That is the one piece of arithmetic worth checking by hand.</t>
  </si>
  <si>
    <t>WHAT THIS IS NOT</t>
  </si>
  <si>
    <t>It is not a measurement of inflation, and it is not a criticism of anyone's statistics office. Substitution and hedonic adjustment are both defensible and both necessary; a bureau that ignored them would publish a worse number, not a better one.</t>
  </si>
  <si>
    <t>It is not a claim that the index is too low. It is a claim that a weighted average describes a population and not a person, which is true of every weighted average ever published, and which cuts in both directions depending on whose basket you carry.</t>
  </si>
  <si>
    <t>The bridge back to the film</t>
  </si>
  <si>
    <t>An Explainer · Measurement &amp; Lived Experience · Standard_Basket_for_Inflation.mp4, 0:50</t>
  </si>
  <si>
    <t>The animation carries every figure it needs on screen and cites nothing, because it is an illustration rather than a report. This sheet says which chip, which bar and which scale corresponds to which cell.</t>
  </si>
  <si>
    <t>The workbook ships calibrated to the film. On the defaults it produces 4.1 per cent as measured and 11.3 per cent as lived, which are the two numbers that resolve at 0:38. Change anything and it stops reproducing the film and starts answering your question instead.</t>
  </si>
  <si>
    <t>THE TWO NUMBERS THE FILM ENDS ON</t>
  </si>
  <si>
    <t>4.1% as measured, in ink</t>
  </si>
  <si>
    <t>Basket sheet, headline as measured</t>
  </si>
  <si>
    <t>Reproduced exactly on the shipped defaults.</t>
  </si>
  <si>
    <t>11.3% as lived, in amber</t>
  </si>
  <si>
    <t>Basket sheet, household as lived</t>
  </si>
  <si>
    <t>THE MAPPING  —  picture to cell</t>
  </si>
  <si>
    <t>In the animation</t>
  </si>
  <si>
    <t>In the model</t>
  </si>
  <si>
    <t>Where to look</t>
  </si>
  <si>
    <t>Why they are the same thing</t>
  </si>
  <si>
    <t>The left pan, the woven basket</t>
  </si>
  <si>
    <t>The category list</t>
  </si>
  <si>
    <t>Basket, column A</t>
  </si>
  <si>
    <t>Rice and flour, soap, bus fare. The fixed set of things a bureau prices each month.</t>
  </si>
  <si>
    <t>The right pan, the stacking weights</t>
  </si>
  <si>
    <t>The index weights</t>
  </si>
  <si>
    <t>Basket, column B</t>
  </si>
  <si>
    <t>Shares of a typical national budget. Chosen, not discovered, and the film is careful to say so.</t>
  </si>
  <si>
    <t>Food 44%, Housing 22%</t>
  </si>
  <si>
    <t>The two rows that dominate</t>
  </si>
  <si>
    <t>Basket, the first two category rows</t>
  </si>
  <si>
    <t>Two thirds of the basket before anything painful is reached.</t>
  </si>
  <si>
    <t>The four amber bars</t>
  </si>
  <si>
    <t>Education, healthcare, fuel, foreign travel</t>
  </si>
  <si>
    <t>Basket, the shaded rows</t>
  </si>
  <si>
    <t>Fifteen per cent of the index. More than half of the household beside it.</t>
  </si>
  <si>
    <t>The SUBSTITUTION card</t>
  </si>
  <si>
    <t>Steak becomes chicken</t>
  </si>
  <si>
    <t>Adjustments, first block</t>
  </si>
  <si>
    <t>The recorded price change is the substitute's. The drag it produces is computed, not asserted.</t>
  </si>
  <si>
    <t>The HEDONIC card</t>
  </si>
  <si>
    <t>Same price, twice the processor</t>
  </si>
  <si>
    <t>Adjustments, second block</t>
  </si>
  <si>
    <t>Quality up at a constant price, entered as a fall. You cannot eat an iPad.</t>
  </si>
  <si>
    <t>The second scale, straining</t>
  </si>
  <si>
    <t>The household weights</t>
  </si>
  <si>
    <t>Basket, column C</t>
  </si>
  <si>
    <t>Weighted by what cannot be avoided. Tuition, petrol and rent are not choices.</t>
  </si>
  <si>
    <t>The amber column stacking past the frame</t>
  </si>
  <si>
    <t>Fifteen years of compounding</t>
  </si>
  <si>
    <t>Over_Time, last column</t>
  </si>
  <si>
    <t>The film stops at one year. The gap does not.</t>
  </si>
  <si>
    <t>One basket is calibrated</t>
  </si>
  <si>
    <t>The headline</t>
  </si>
  <si>
    <t>Summary, section 1</t>
  </si>
  <si>
    <t>An average, honestly measured.</t>
  </si>
  <si>
    <t>The other is carried home</t>
  </si>
  <si>
    <t>Your own number</t>
  </si>
  <si>
    <t>Your_Basket sheet</t>
  </si>
  <si>
    <t>Type a month of your spending and the sheet returns the second scale, calibrated to you.</t>
  </si>
  <si>
    <t>THE BEAT SHEET  —  fifty seconds, timecoded</t>
  </si>
  <si>
    <t>Timecode</t>
  </si>
  <si>
    <t>What the film says</t>
  </si>
  <si>
    <t>Where the model says it</t>
  </si>
  <si>
    <t>Note</t>
  </si>
  <si>
    <t>0:05-0:12</t>
  </si>
  <si>
    <t>Each month a bureau prices one fixed basket of goods.</t>
  </si>
  <si>
    <t>Basket, columns A and D</t>
  </si>
  <si>
    <t>Fixed is the operative word. The set is decided in advance.</t>
  </si>
  <si>
    <t>0:10-0:12</t>
  </si>
  <si>
    <t>Its contents, and the weight of each, are chosen.</t>
  </si>
  <si>
    <t>Blue cells. Chosen means editable, which is why they are in blue.</t>
  </si>
  <si>
    <t>0:13-0:19</t>
  </si>
  <si>
    <t>Staples dominate. The things that hurt barely register.</t>
  </si>
  <si>
    <t>Basket, column E</t>
  </si>
  <si>
    <t>Contribution to the measured number. Food contributes more than education, healthcare and fuel combined.</t>
  </si>
  <si>
    <t>0:20-0:23</t>
  </si>
  <si>
    <t>When prices climb, the basket is adjusted before the number is.</t>
  </si>
  <si>
    <t>Substitution, with its drag computed in percentage points.</t>
  </si>
  <si>
    <t>0:24-0:27</t>
  </si>
  <si>
    <t>Quality up at a constant price is entered as a price cut.</t>
  </si>
  <si>
    <t>Hedonics. Set the adjusted share to zero and watch the headline rise.</t>
  </si>
  <si>
    <t>0:29-0:36</t>
  </si>
  <si>
    <t>A household's real basket is weighted by what it cannot avoid.</t>
  </si>
  <si>
    <t>Tuition plus 14, petrol plus 19, rent plus 9. All three chips are in the price column.</t>
  </si>
  <si>
    <t>0:38-0:44</t>
  </si>
  <si>
    <t>Same year. Same prices. Two calibrations.</t>
  </si>
  <si>
    <t>Basket, columns E and F</t>
  </si>
  <si>
    <t>One price column, two weight columns. Nothing else differs anywhere in the workbook.</t>
  </si>
  <si>
    <t>0:45-0:50</t>
  </si>
  <si>
    <t>One basket is calibrated. The other is carried home.</t>
  </si>
  <si>
    <t>Where the second scale becomes yours rather than an illustration.</t>
  </si>
  <si>
    <t>WHAT THE FILM LEAVES OUT, AND THIS DOES NOT</t>
  </si>
  <si>
    <t>Three things. First, the two adjustments turn out to be the smaller half of the gap: on these numbers the weighting does several times the work that substitution and hedonics do together, which is worth knowing before anyone builds an argument on the iPad quote alone. Second, the gap compounds, and fifteen years of it is a different order of loss from one year of it. Third, the effect is not one-directional. A household with no school fees and no car reads below the headline, and the same arithmetic quietly favours it. The film had fifty seconds and chose the sharper story, which was the right choice for a film.</t>
  </si>
  <si>
    <t>The standard basket — the model behind the metaphor</t>
  </si>
  <si>
    <t>The companion animation puts two scales side by side and lets one of them strain. This workbook is the arithmetic that makes the beam tip.</t>
  </si>
  <si>
    <t>Everything here is live. Change a weight or a price on the Basket sheet and every figure below moves.</t>
  </si>
  <si>
    <t>1.  THE TWO NUMBERS</t>
  </si>
  <si>
    <t>Inflation, as measured</t>
  </si>
  <si>
    <t>The fixed basket, on national weights, after substitution and the quality credit.</t>
  </si>
  <si>
    <t>Inflation, as lived</t>
  </si>
  <si>
    <t>The same prices, weighted by one household's unavoidable spending.</t>
  </si>
  <si>
    <t>The gap, in percentage points</t>
  </si>
  <si>
    <t>Same year. Same shop. Two calibrations.</t>
  </si>
  <si>
    <t>2.  WHERE THE GAP COMES FROM</t>
  </si>
  <si>
    <t>From the weights alone</t>
  </si>
  <si>
    <t>What the household pays extra purely because its basket is shaped differently.</t>
  </si>
  <si>
    <t>From the substitution adjustment</t>
  </si>
  <si>
    <t>Beef becomes chicken. The recorded price is the substitute's.</t>
  </si>
  <si>
    <t>From the hedonic, or quality, adjustment</t>
  </si>
  <si>
    <t>A better machine at the same money is entered as a price cut.</t>
  </si>
  <si>
    <t>Weights, as a share of the whole gap</t>
  </si>
  <si>
    <t>The two famous adjustments are real, and they are the smaller half of the story. It is the weighting that does the work.</t>
  </si>
  <si>
    <t>3.  YOUR OWN NUMBER</t>
  </si>
  <si>
    <t>Your rate of inflation</t>
  </si>
  <si>
    <t>From the Your_Basket sheet. Type what you spend in a month and this figure is yours.</t>
  </si>
  <si>
    <t>Your gap against the headline</t>
  </si>
  <si>
    <t>The extra you will pay next year (Rs)</t>
  </si>
  <si>
    <t>On an unchanged basket, at these prices.</t>
  </si>
  <si>
    <t>Of which, because your basket is not the national one (Rs)</t>
  </si>
  <si>
    <t>The cost of the difference between the two calibrations, in rupees a year.</t>
  </si>
  <si>
    <t>4.  FIFTEEN YEARS ON</t>
  </si>
  <si>
    <t>Cost of the index basket after fifteen years</t>
  </si>
  <si>
    <t>Starting from one hundred.</t>
  </si>
  <si>
    <t>Cost of the household basket after fifteen years</t>
  </si>
  <si>
    <t>The same fifteen years, the same prices.</t>
  </si>
  <si>
    <t>Purchasing power retained, after full annual indexation</t>
  </si>
  <si>
    <t>An income raised by the published rate every single year, spent on the household basket.</t>
  </si>
  <si>
    <t>Year in which half of it is gone</t>
  </si>
  <si>
    <t>5.  THE READING</t>
  </si>
  <si>
    <t>Neither number is a lie. The bureau prices a real basket and reports it honestly. The trouble is that a weighted average is a statement about a population, and nobody is a population. Food and housing take two thirds of the index because that is where most of the country's money goes. For a household whose money goes on school fees, medicine and a commute, the index is measuring somebody else.
Two things follow. The first is that indexation is not protection: an income raised by the published rate every year still loses ground, quietly, without anyone breaking a rule. The second is that this cuts both ways. A household with no children in school and no car will read a number below the headline, and the same arithmetic will be working in its favour.
The fix is not to distrust the index. It is to know your own weights. That is what the Your_Basket sheet is for, and it takes about four minutes to fill in.</t>
  </si>
  <si>
    <t>The basket — one set of prices, weighted two ways</t>
  </si>
  <si>
    <t>Same year. Same shop. Same price changes. Only the weights differ, and that is the whole argument.</t>
  </si>
  <si>
    <t>The price change column is shared. It is entered once and both baskets are priced off it, so nothing in the gap below comes from disagreeing about what things cost.</t>
  </si>
  <si>
    <t>The index weights are shares of a typical national budget, in which food and housing take two thirds. The household weights are shares of one particular urban family's budget, in which school fees and fuel do.</t>
  </si>
  <si>
    <t>The four categories shaded amber are the film's: education, healthcare, fuel and foreign travel. They are fifteen per cent of the index and more than half of this household.</t>
  </si>
  <si>
    <t>Category</t>
  </si>
  <si>
    <t>Index weight</t>
  </si>
  <si>
    <t>Household weight</t>
  </si>
  <si>
    <t>Price change this year</t>
  </si>
  <si>
    <t>Contribution to the measured number</t>
  </si>
  <si>
    <t>Contribution to the lived number</t>
  </si>
  <si>
    <t>Gap (percentage points)</t>
  </si>
  <si>
    <t>Food and staples</t>
  </si>
  <si>
    <t>A quiet year for staples. The index feels the benefit far more than this household does, because the index is weighted for the whole country, including those who spend nearly half their income on food.</t>
  </si>
  <si>
    <t>Housing and rent</t>
  </si>
  <si>
    <t>The film's rent chip: plus nine per cent.</t>
  </si>
  <si>
    <t>Transport and fares</t>
  </si>
  <si>
    <t>Education and tuition</t>
  </si>
  <si>
    <t>The film's tuition chip: plus fourteen per cent. Five per cent of the index, twenty-two per cent of this family.</t>
  </si>
  <si>
    <t>Healthcare</t>
  </si>
  <si>
    <t>Fuel and petrol</t>
  </si>
  <si>
    <t>The film's petrol chip: plus nineteen per cent. Nobody substitutes their way out of a commute.</t>
  </si>
  <si>
    <t>Foreign travel</t>
  </si>
  <si>
    <t>Everything else</t>
  </si>
  <si>
    <t>Where most of the hedonic adjustment lands. See the Adjustments sheet.</t>
  </si>
  <si>
    <t>Total</t>
  </si>
  <si>
    <t>Check — both sets of weights sum to 100%</t>
  </si>
  <si>
    <t>FROM THE BASKET TO THE HEADLINE</t>
  </si>
  <si>
    <t>Weighted price change on the index weights</t>
  </si>
  <si>
    <t>What the fixed basket would have shown before anyone adjusted anything.</t>
  </si>
  <si>
    <t>Less: the substitution adjustment</t>
  </si>
  <si>
    <t>Beef gets dear, so chicken is priced instead. Worked out on the Adjustments sheet.</t>
  </si>
  <si>
    <t>Less: the hedonic, or quality, adjustment</t>
  </si>
  <si>
    <t>Same money, better machine, logged as a price cut nobody received. Also on the Adjustments sheet.</t>
  </si>
  <si>
    <t>Headline inflation, as measured</t>
  </si>
  <si>
    <t>Weighted price change on the household weights</t>
  </si>
  <si>
    <t>No substitution, because there is nothing to substitute. No quality discount, because a school does not get faster every year.</t>
  </si>
  <si>
    <t>Household inflation, as lived</t>
  </si>
  <si>
    <t>WHERE THE GAP COMES FROM</t>
  </si>
  <si>
    <t>Largest contributor to the gap, number 1</t>
  </si>
  <si>
    <t>Largest contributor to the gap, number 2</t>
  </si>
  <si>
    <t>Largest contributor to the gap, number 3</t>
  </si>
  <si>
    <t>Sum of all weighting differences</t>
  </si>
  <si>
    <t>Plus the two index adjustments</t>
  </si>
  <si>
    <t>Reconciles to the total gap</t>
  </si>
  <si>
    <t>Check — the reconciliation ties</t>
  </si>
  <si>
    <t>Read the amber rows against the top three above. The entire discrepancy is carried by education, healthcare and fuel, which are fifteen per cent of the index basket and fifty-four per cent of this one. Food works the other way: a quiet year for staples helps the index far more than it helps this family, because the index is weighted for a country in which many households spend almost half their income on food.</t>
  </si>
  <si>
    <t>The two adjustments — how the basket moves before the number does</t>
  </si>
  <si>
    <t>Substitution and hedonics. Both are defensible. Both push the same way.</t>
  </si>
  <si>
    <t>These are the film's two cards, worked through in numbers. Each one produces a drag in percentage points, and both drags feed straight into the headline on the Basket sheet.</t>
  </si>
  <si>
    <t>Neither adjustment is a trick. A statistician who ignored substitution would overstate the cost of living, and one who ignored quality would overstate the price of a laptop. The point is only that both corrections run in the same direction, and no household receives either of them in cash.</t>
  </si>
  <si>
    <t>SUBSTITUTION  —  steak becomes chicken</t>
  </si>
  <si>
    <t>If beef gets dear, the bureau prices the cheaper cut instead, on the reasoning that this is what shoppers actually do. The recorded price change is the substitute's, not the original's. The family eats chicken.</t>
  </si>
  <si>
    <t>Category in which the substitution happens</t>
  </si>
  <si>
    <t>Weight of that category in the index</t>
  </si>
  <si>
    <t>Pulled from the Basket sheet, so it moves if you change the weights there.</t>
  </si>
  <si>
    <t>Price change of the original item, beef</t>
  </si>
  <si>
    <t>Price change of the substitute, chicken</t>
  </si>
  <si>
    <t>Share of the category where the swap is applied</t>
  </si>
  <si>
    <t>How much of the food basket gets re-specified in a year. Set this to zero to switch the adjustment off.</t>
  </si>
  <si>
    <t>Understatement on the swapped share</t>
  </si>
  <si>
    <t>What the original rose by, less what was recorded instead.</t>
  </si>
  <si>
    <t>Drag on the headline, in percentage points</t>
  </si>
  <si>
    <t>HEDONIC ADJUSTMENT  —  same price, twice the processor</t>
  </si>
  <si>
    <t>If a machine is twice as good at the same money, the bureau records that as a price cut, because you are getting more for the rupee. The logic is sound. The rupee still leaves your account.</t>
  </si>
  <si>
    <t>Category in which the quality adjustment lands</t>
  </si>
  <si>
    <t>Share of the category that is quality-adjusted</t>
  </si>
  <si>
    <t>Electronics, appliances, telecom plans. Set to zero to switch the adjustment off.</t>
  </si>
  <si>
    <t>Observed change in the money price</t>
  </si>
  <si>
    <t>The shelf price did not move.</t>
  </si>
  <si>
    <t>Measured improvement in quality</t>
  </si>
  <si>
    <t>Twice the processor is not always twice the quality. This is the bureau's estimate of the useful gain.</t>
  </si>
  <si>
    <t>Price change as recorded, after the quality credit</t>
  </si>
  <si>
    <t>The money price divided by the quality gain. A fall that no one paid.</t>
  </si>
  <si>
    <t>Understatement on the adjusted share</t>
  </si>
  <si>
    <t>THE TWO TOGETHER</t>
  </si>
  <si>
    <t>Total drag on the headline, in percentage points</t>
  </si>
  <si>
    <t>Carried into the Basket sheet, where it is subtracted from the weighted price change.</t>
  </si>
  <si>
    <t>Headline inflation without either adjustment</t>
  </si>
  <si>
    <t>Headline inflation as published</t>
  </si>
  <si>
    <t>The audience member at the New York Fed in 2011 was not disputing the arithmetic when he said you cannot eat an iPad. He was pointing out that a quality credit on a laptop and a swap from beef to chicken are both recorded as relief, and that relief never appears in anybody's grocery bill. Set both shares to zero above and the headline rises by the amount in amber. That is the size of the argument, and it is smaller than the weighting gap on the Basket sheet. The weights do most of the work.</t>
  </si>
  <si>
    <t>Your basket — the one that is carried home</t>
  </si>
  <si>
    <t>Type what you actually spend in a month. The sheet works out your own weights and your own number.</t>
  </si>
  <si>
    <t>Only the blue column is yours to fill. Everything else follows from it. You are not asked to guess a weight, because nobody knows their own weights; you are asked what you spend, which you do know.</t>
  </si>
  <si>
    <t>The price changes are the ones on the Basket sheet, unchanged. Your number differs from the headline for exactly one reason: your basket is not the national basket.</t>
  </si>
  <si>
    <t>The column is pre-filled with the film's own household expressed in rupees: one lakh a month, spread so that the derived weights come out exactly as the household column on the Basket sheet. That is why it returns the same 11.3 per cent to begin with. Overwrite it and the two part company.</t>
  </si>
  <si>
    <t>Your monthly spend (Rs)</t>
  </si>
  <si>
    <t>Your weight</t>
  </si>
  <si>
    <t>You, against the index</t>
  </si>
  <si>
    <t>Your contribution</t>
  </si>
  <si>
    <t>WHAT IT MEANS FOR YOU</t>
  </si>
  <si>
    <t>Your own rate of inflation</t>
  </si>
  <si>
    <t>The same prices as everybody else, weighted by your own life.</t>
  </si>
  <si>
    <t>Headline inflation, as published</t>
  </si>
  <si>
    <t>From the Basket sheet, after both adjustments.</t>
  </si>
  <si>
    <t>Your gap, in percentage points</t>
  </si>
  <si>
    <t>Positive means the headline understates your year. Negative means it overstates it, which happens too.</t>
  </si>
  <si>
    <t>Your total spending this year (Rs)</t>
  </si>
  <si>
    <t>What the same basket costs next year (Rs)</t>
  </si>
  <si>
    <t>The increase you will actually pay (Rs)</t>
  </si>
  <si>
    <t>This is the number that shows up in your account rather than in a press release.</t>
  </si>
  <si>
    <t>The increase if you inflated at the headline instead (Rs)</t>
  </si>
  <si>
    <t>The difference the weighting makes (Rs a year)</t>
  </si>
  <si>
    <t>Fifteen years — where a small annual gap ends up</t>
  </si>
  <si>
    <t>An income indexed to the official number, spending on a household basket. Watch what happens.</t>
  </si>
  <si>
    <t>This is the part the film leaves implied. A gap of a few percentage points a year is not a rounding error, because it compounds, and the two baskets pull apart geometrically rather than in a straight line.</t>
  </si>
  <si>
    <t>The income column receives a full inflation adjustment every single year, at the published rate. Nobody is being cheated. The last column is what that adjustment is worth once it is spent.</t>
  </si>
  <si>
    <t>Both rate columns are formulas pointing at the Basket sheet. Overwrite any individual cell to model a year where the two converge, or where they cross.</t>
  </si>
  <si>
    <t>Year</t>
  </si>
  <si>
    <t>Cost of the index basket</t>
  </si>
  <si>
    <t>Cost of the household basket</t>
  </si>
  <si>
    <t>Income, indexed to the measured rate (Rs)</t>
  </si>
  <si>
    <t>That income in Year-0 rupees (Rs)</t>
  </si>
  <si>
    <t>Purchasing power retained</t>
  </si>
  <si>
    <t>0</t>
  </si>
  <si>
    <t>AFTER FIFTEEN YEARS</t>
  </si>
  <si>
    <t>The index basket costs</t>
  </si>
  <si>
    <t>Cumulative, on the published rate.</t>
  </si>
  <si>
    <t>The household basket costs</t>
  </si>
  <si>
    <t>Cumulative, on the lived rate. The same fifteen years.</t>
  </si>
  <si>
    <t>The household basket is dearer than the index by</t>
  </si>
  <si>
    <t>This is the compounding, stated once.</t>
  </si>
  <si>
    <t>Purchasing power retained after full annual indexation</t>
  </si>
  <si>
    <t>Purchasing power lost</t>
  </si>
  <si>
    <t>Lost quietly, in a year when every adjustment was paid in full and no rule was broken.</t>
  </si>
  <si>
    <t>Year in which half the purchasing power is gone</t>
  </si>
  <si>
    <t>Counted from Year 0. Reads beyond the horizon if it never happens inside it.</t>
  </si>
  <si>
    <t>Nothing dishonest happens anywhere in this table. The bureau measures a real average and publishes it. The employer pays the full published adjustment every year. And the household still ends up in the last column, because it never bought the average basket in the first place. Neither number is a lie. One is an average, and the other is somebody's month.</t>
  </si>
  <si>
    <t>https://www.youtube.com/watch?v=5otcFOL8INE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</si>
</sst>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
    <numFmt numFmtId="166" formatCode="#,##0;\(#,##0\);\-"/>
    <numFmt numFmtId="167" formatCode="#,##0.00;\(#,##0.00\);\-"/>
  </numFmts>
  <fonts count="23" x14ac:knownFonts="1">
    <font>
      <sz val="11"/>
      <color theme="1"/>
      <name val="Calibri"/>
      <family val="2"/>
      <scheme val="minor"/>
    </font>
    <font>
      <u/>
      <sz val="11"/>
      <color theme="10"/>
      <name val="Calibri"/>
      <family val="2"/>
      <scheme val="minor"/>
    </font>
    <font>
      <u/>
      <sz val="11"/>
      <color theme="10"/>
      <name val="Trebuchet MS"/>
      <family val="2"/>
    </font>
    <font>
      <b/>
      <sz val="16"/>
      <color rgb="FF1B2A38"/>
      <name val="Trebuchet MS"/>
      <family val="2"/>
    </font>
    <font>
      <sz val="11"/>
      <color theme="1"/>
      <name val="Trebuchet MS"/>
      <family val="2"/>
    </font>
    <font>
      <i/>
      <sz val="10.5"/>
      <color rgb="FF6E6459"/>
      <name val="Trebuchet MS"/>
      <family val="2"/>
    </font>
    <font>
      <sz val="9.5"/>
      <color rgb="FF1B2A38"/>
      <name val="Trebuchet MS"/>
      <family val="2"/>
    </font>
    <font>
      <b/>
      <sz val="10"/>
      <color rgb="FFFFFFFF"/>
      <name val="Trebuchet MS"/>
      <family val="2"/>
    </font>
    <font>
      <b/>
      <sz val="9.5"/>
      <color rgb="FF1B2A38"/>
      <name val="Trebuchet MS"/>
      <family val="2"/>
    </font>
    <font>
      <b/>
      <sz val="9.5"/>
      <color rgb="FF008000"/>
      <name val="Trebuchet MS"/>
      <family val="2"/>
    </font>
    <font>
      <i/>
      <sz val="9.5"/>
      <color rgb="FF1B2A38"/>
      <name val="Trebuchet MS"/>
      <family val="2"/>
    </font>
    <font>
      <i/>
      <sz val="8.5"/>
      <color rgb="FF6E6459"/>
      <name val="Trebuchet MS"/>
      <family val="2"/>
    </font>
    <font>
      <b/>
      <sz val="9"/>
      <color rgb="FF1B2A38"/>
      <name val="Trebuchet MS"/>
      <family val="2"/>
    </font>
    <font>
      <b/>
      <sz val="10.5"/>
      <color rgb="FF1B2A38"/>
      <name val="Trebuchet MS"/>
      <family val="2"/>
    </font>
    <font>
      <b/>
      <sz val="9.5"/>
      <color rgb="FFB07D2B"/>
      <name val="Trebuchet MS"/>
      <family val="2"/>
    </font>
    <font>
      <sz val="10.5"/>
      <color rgb="FF1B2A38"/>
      <name val="Trebuchet MS"/>
      <family val="2"/>
    </font>
    <font>
      <b/>
      <sz val="13"/>
      <color rgb="FF008000"/>
      <name val="Trebuchet MS"/>
      <family val="2"/>
    </font>
    <font>
      <sz val="9.5"/>
      <color rgb="FF008000"/>
      <name val="Trebuchet MS"/>
      <family val="2"/>
    </font>
    <font>
      <sz val="9.5"/>
      <color rgb="FF0000FF"/>
      <name val="Trebuchet MS"/>
      <family val="2"/>
    </font>
    <font>
      <b/>
      <sz val="11"/>
      <color rgb="FF1B2A38"/>
      <name val="Trebuchet MS"/>
      <family val="2"/>
    </font>
    <font>
      <b/>
      <sz val="12"/>
      <color rgb="FF1B2A38"/>
      <name val="Trebuchet MS"/>
      <family val="2"/>
    </font>
    <font>
      <b/>
      <sz val="12"/>
      <color rgb="FFB07D2B"/>
      <name val="Trebuchet MS"/>
      <family val="2"/>
    </font>
    <font>
      <sz val="10"/>
      <color rgb="FF1B2A38"/>
      <name val="Trebuchet MS"/>
      <family val="2"/>
    </font>
  </fonts>
  <fills count="4">
    <fill>
      <patternFill patternType="none"/>
    </fill>
    <fill>
      <patternFill patternType="gray125"/>
    </fill>
    <fill>
      <patternFill patternType="solid">
        <fgColor rgb="FFF3E7CE"/>
      </patternFill>
    </fill>
    <fill>
      <patternFill patternType="solid">
        <fgColor rgb="FF1B2A38"/>
      </patternFill>
    </fill>
  </fills>
  <borders count="4">
    <border>
      <left/>
      <right/>
      <top/>
      <bottom/>
      <diagonal/>
    </border>
    <border>
      <left/>
      <right/>
      <top/>
      <bottom style="medium">
        <color rgb="FF1B2A38"/>
      </bottom>
      <diagonal/>
    </border>
    <border>
      <left/>
      <right/>
      <top style="medium">
        <color rgb="FF1B2A38"/>
      </top>
      <bottom style="medium">
        <color rgb="FF1B2A38"/>
      </bottom>
      <diagonal/>
    </border>
    <border>
      <left/>
      <right/>
      <top/>
      <bottom style="hair">
        <color rgb="FFC9BFA8"/>
      </bottom>
      <diagonal/>
    </border>
  </borders>
  <cellStyleXfs count="2">
    <xf numFmtId="0" fontId="0" fillId="0" borderId="0"/>
    <xf numFmtId="0" fontId="1" fillId="0" borderId="0" applyNumberFormat="0" applyFill="0" applyBorder="0" applyAlignment="0" applyProtection="0"/>
  </cellStyleXfs>
  <cellXfs count="74">
    <xf numFmtId="0" fontId="0" fillId="0" borderId="0" xfId="0"/>
    <xf numFmtId="0" fontId="2" fillId="0" borderId="1" xfId="1" applyFont="1" applyBorder="1"/>
    <xf numFmtId="0" fontId="3" fillId="0" borderId="0" xfId="0" applyFont="1" applyAlignment="1">
      <alignment vertical="center"/>
    </xf>
    <xf numFmtId="0" fontId="4" fillId="0" borderId="0" xfId="0" applyFont="1"/>
    <xf numFmtId="0" fontId="5" fillId="0" borderId="0" xfId="0" applyFont="1"/>
    <xf numFmtId="0" fontId="4" fillId="0" borderId="1" xfId="0" applyFont="1" applyBorder="1"/>
    <xf numFmtId="0" fontId="6" fillId="0" borderId="0" xfId="0" applyFont="1" applyAlignment="1">
      <alignment horizontal="left" vertical="top" wrapText="1"/>
    </xf>
    <xf numFmtId="0" fontId="7" fillId="3" borderId="0" xfId="0" applyFont="1" applyFill="1"/>
    <xf numFmtId="0" fontId="8" fillId="0" borderId="0" xfId="0" applyFont="1" applyAlignment="1">
      <alignment horizontal="left" vertical="center"/>
    </xf>
    <xf numFmtId="164" fontId="9" fillId="0" borderId="0" xfId="0" applyNumberFormat="1" applyFont="1" applyAlignment="1">
      <alignment horizontal="center" vertical="center"/>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1" xfId="0" applyFont="1" applyBorder="1" applyAlignment="1">
      <alignment horizontal="left" wrapText="1"/>
    </xf>
    <xf numFmtId="0" fontId="13" fillId="0" borderId="3" xfId="0" applyFont="1" applyBorder="1" applyAlignment="1">
      <alignment horizontal="left" vertical="center"/>
    </xf>
    <xf numFmtId="0" fontId="6" fillId="0" borderId="3" xfId="0" applyFont="1" applyBorder="1" applyAlignment="1">
      <alignment horizontal="left" vertical="top" wrapText="1"/>
    </xf>
    <xf numFmtId="0" fontId="10" fillId="0" borderId="3" xfId="0" applyFont="1" applyBorder="1" applyAlignment="1">
      <alignment horizontal="left" vertical="top" wrapText="1"/>
    </xf>
    <xf numFmtId="0" fontId="11" fillId="0" borderId="3" xfId="0" applyFont="1" applyBorder="1" applyAlignment="1">
      <alignment horizontal="left" vertical="top" wrapText="1"/>
    </xf>
    <xf numFmtId="0" fontId="14" fillId="0" borderId="3" xfId="0" applyFont="1" applyBorder="1" applyAlignment="1">
      <alignment horizontal="left" vertical="center"/>
    </xf>
    <xf numFmtId="0" fontId="6" fillId="2" borderId="0" xfId="0" applyFont="1" applyFill="1" applyAlignment="1">
      <alignment horizontal="left" vertical="center"/>
    </xf>
    <xf numFmtId="164" fontId="16" fillId="2" borderId="0" xfId="0" applyNumberFormat="1" applyFont="1" applyFill="1" applyAlignment="1">
      <alignment horizontal="center" vertical="center"/>
    </xf>
    <xf numFmtId="0" fontId="8" fillId="2" borderId="0" xfId="0" applyFont="1" applyFill="1" applyAlignment="1">
      <alignment horizontal="left" vertical="center"/>
    </xf>
    <xf numFmtId="164" fontId="9" fillId="2" borderId="0" xfId="0" applyNumberFormat="1" applyFont="1" applyFill="1" applyAlignment="1">
      <alignment horizontal="center" vertical="center"/>
    </xf>
    <xf numFmtId="0" fontId="6" fillId="0" borderId="0" xfId="0" applyFont="1" applyAlignment="1">
      <alignment horizontal="left" vertical="center"/>
    </xf>
    <xf numFmtId="164" fontId="17" fillId="0" borderId="0" xfId="0" applyNumberFormat="1" applyFont="1" applyAlignment="1">
      <alignment horizontal="center" vertical="center"/>
    </xf>
    <xf numFmtId="166" fontId="17" fillId="0" borderId="0" xfId="0" applyNumberFormat="1" applyFont="1" applyAlignment="1">
      <alignment horizontal="center" vertical="center"/>
    </xf>
    <xf numFmtId="166" fontId="9" fillId="0" borderId="0" xfId="0" applyNumberFormat="1" applyFont="1" applyAlignment="1">
      <alignment horizontal="center" vertical="center"/>
    </xf>
    <xf numFmtId="167" fontId="17" fillId="0" borderId="0" xfId="0" applyNumberFormat="1" applyFont="1" applyAlignment="1">
      <alignment horizontal="center" vertical="center"/>
    </xf>
    <xf numFmtId="0" fontId="12" fillId="0" borderId="1" xfId="0" applyFont="1" applyBorder="1" applyAlignment="1">
      <alignment horizontal="center" wrapText="1"/>
    </xf>
    <xf numFmtId="164" fontId="18" fillId="0" borderId="0" xfId="0" applyNumberFormat="1" applyFont="1" applyAlignment="1">
      <alignment horizontal="center" vertical="center"/>
    </xf>
    <xf numFmtId="165" fontId="6" fillId="0" borderId="0" xfId="0" applyNumberFormat="1" applyFont="1" applyAlignment="1">
      <alignment horizontal="center" vertical="center"/>
    </xf>
    <xf numFmtId="165" fontId="8" fillId="0" borderId="0" xfId="0" applyNumberFormat="1" applyFont="1" applyAlignment="1">
      <alignment horizontal="center" vertical="center"/>
    </xf>
    <xf numFmtId="164" fontId="18" fillId="2" borderId="0" xfId="0" applyNumberFormat="1" applyFont="1" applyFill="1" applyAlignment="1">
      <alignment horizontal="center" vertical="center"/>
    </xf>
    <xf numFmtId="165" fontId="6" fillId="2" borderId="0" xfId="0" applyNumberFormat="1" applyFont="1" applyFill="1" applyAlignment="1">
      <alignment horizontal="center" vertical="center"/>
    </xf>
    <xf numFmtId="165" fontId="8" fillId="2" borderId="0" xfId="0" applyNumberFormat="1" applyFont="1" applyFill="1" applyAlignment="1">
      <alignment horizontal="center" vertical="center"/>
    </xf>
    <xf numFmtId="0" fontId="8" fillId="0" borderId="2" xfId="0" applyFont="1" applyBorder="1" applyAlignment="1">
      <alignment horizontal="left" vertical="center"/>
    </xf>
    <xf numFmtId="164" fontId="8" fillId="0" borderId="2" xfId="0" applyNumberFormat="1" applyFont="1" applyBorder="1" applyAlignment="1">
      <alignment horizontal="center" vertical="center"/>
    </xf>
    <xf numFmtId="0" fontId="4" fillId="0" borderId="2" xfId="0" applyFont="1" applyBorder="1"/>
    <xf numFmtId="165" fontId="8" fillId="0" borderId="2" xfId="0" applyNumberFormat="1" applyFont="1" applyBorder="1" applyAlignment="1">
      <alignment horizontal="center" vertical="center"/>
    </xf>
    <xf numFmtId="0" fontId="6" fillId="2" borderId="0" xfId="0" applyFont="1" applyFill="1" applyAlignment="1">
      <alignment horizontal="center" vertical="center"/>
    </xf>
    <xf numFmtId="0" fontId="19" fillId="2" borderId="0" xfId="0" applyFont="1" applyFill="1" applyAlignment="1">
      <alignment horizontal="left" vertical="center"/>
    </xf>
    <xf numFmtId="0" fontId="4" fillId="2" borderId="0" xfId="0" applyFont="1" applyFill="1"/>
    <xf numFmtId="164" fontId="20" fillId="2" borderId="0" xfId="0" applyNumberFormat="1" applyFont="1" applyFill="1" applyAlignment="1">
      <alignment horizontal="center" vertical="center"/>
    </xf>
    <xf numFmtId="164" fontId="21" fillId="2" borderId="0" xfId="0" applyNumberFormat="1" applyFont="1" applyFill="1" applyAlignment="1">
      <alignment horizontal="center" vertical="center"/>
    </xf>
    <xf numFmtId="0" fontId="6" fillId="0" borderId="0" xfId="0" applyFont="1"/>
    <xf numFmtId="0" fontId="18" fillId="0" borderId="0" xfId="0" applyFont="1" applyAlignment="1">
      <alignment horizontal="center" vertical="center"/>
    </xf>
    <xf numFmtId="164" fontId="6" fillId="0" borderId="0" xfId="0" applyNumberFormat="1" applyFont="1" applyAlignment="1">
      <alignment horizontal="center" vertical="center"/>
    </xf>
    <xf numFmtId="164" fontId="8" fillId="0" borderId="0" xfId="0" applyNumberFormat="1" applyFont="1" applyAlignment="1">
      <alignment horizontal="center" vertical="center"/>
    </xf>
    <xf numFmtId="165" fontId="17" fillId="0" borderId="0" xfId="0" applyNumberFormat="1" applyFont="1" applyAlignment="1">
      <alignment horizontal="center" vertical="center"/>
    </xf>
    <xf numFmtId="166" fontId="18" fillId="0" borderId="0" xfId="0" applyNumberFormat="1" applyFont="1" applyAlignment="1">
      <alignment horizontal="center" vertical="center"/>
    </xf>
    <xf numFmtId="166" fontId="18" fillId="2" borderId="0" xfId="0" applyNumberFormat="1" applyFont="1" applyFill="1" applyAlignment="1">
      <alignment horizontal="center" vertical="center"/>
    </xf>
    <xf numFmtId="164" fontId="6" fillId="2" borderId="0" xfId="0" applyNumberFormat="1" applyFont="1" applyFill="1" applyAlignment="1">
      <alignment horizontal="center" vertical="center"/>
    </xf>
    <xf numFmtId="164" fontId="17" fillId="2" borderId="0" xfId="0" applyNumberFormat="1" applyFont="1" applyFill="1" applyAlignment="1">
      <alignment horizontal="center" vertical="center"/>
    </xf>
    <xf numFmtId="164" fontId="8" fillId="2" borderId="0" xfId="0" applyNumberFormat="1" applyFont="1" applyFill="1" applyAlignment="1">
      <alignment horizontal="center" vertical="center"/>
    </xf>
    <xf numFmtId="166" fontId="8" fillId="0" borderId="2" xfId="0" applyNumberFormat="1" applyFont="1" applyBorder="1" applyAlignment="1">
      <alignment horizontal="center" vertical="center"/>
    </xf>
    <xf numFmtId="166" fontId="6" fillId="0" borderId="0" xfId="0" applyNumberFormat="1" applyFont="1" applyAlignment="1">
      <alignment horizontal="center" vertical="center"/>
    </xf>
    <xf numFmtId="166" fontId="8" fillId="2" borderId="0" xfId="0" applyNumberFormat="1" applyFont="1" applyFill="1" applyAlignment="1">
      <alignment horizontal="center" vertical="center"/>
    </xf>
    <xf numFmtId="167" fontId="6" fillId="0" borderId="0" xfId="0" applyNumberFormat="1" applyFont="1" applyAlignment="1">
      <alignment horizontal="center" vertical="center"/>
    </xf>
    <xf numFmtId="166" fontId="8" fillId="0" borderId="0" xfId="0" applyNumberFormat="1" applyFont="1"/>
    <xf numFmtId="166" fontId="8" fillId="0" borderId="3" xfId="0" applyNumberFormat="1" applyFont="1" applyBorder="1"/>
    <xf numFmtId="164" fontId="17" fillId="0" borderId="3" xfId="0" applyNumberFormat="1" applyFont="1" applyBorder="1" applyAlignment="1">
      <alignment horizontal="center" vertical="center"/>
    </xf>
    <xf numFmtId="167" fontId="6" fillId="0" borderId="3" xfId="0" applyNumberFormat="1" applyFont="1" applyBorder="1" applyAlignment="1">
      <alignment horizontal="center" vertical="center"/>
    </xf>
    <xf numFmtId="166" fontId="6" fillId="0" borderId="3" xfId="0" applyNumberFormat="1" applyFont="1" applyBorder="1" applyAlignment="1">
      <alignment horizontal="center" vertical="center"/>
    </xf>
    <xf numFmtId="164" fontId="8" fillId="2" borderId="3" xfId="0" applyNumberFormat="1" applyFont="1" applyFill="1" applyBorder="1" applyAlignment="1">
      <alignment horizontal="center" vertical="center"/>
    </xf>
    <xf numFmtId="166" fontId="8" fillId="0" borderId="1" xfId="0" applyNumberFormat="1" applyFont="1" applyBorder="1"/>
    <xf numFmtId="164" fontId="17" fillId="0" borderId="1" xfId="0" applyNumberFormat="1" applyFont="1" applyBorder="1" applyAlignment="1">
      <alignment horizontal="center" vertical="center"/>
    </xf>
    <xf numFmtId="167" fontId="6"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164" fontId="8" fillId="2" borderId="1" xfId="0" applyNumberFormat="1" applyFont="1" applyFill="1" applyBorder="1" applyAlignment="1">
      <alignment horizontal="center" vertical="center"/>
    </xf>
    <xf numFmtId="0" fontId="15" fillId="0" borderId="0" xfId="0" applyFont="1" applyAlignment="1">
      <alignment horizontal="left" vertical="top" wrapText="1"/>
    </xf>
    <xf numFmtId="0" fontId="4" fillId="0" borderId="0" xfId="0" applyFont="1"/>
    <xf numFmtId="0" fontId="6"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22"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Contribution to inflation, by category</a:t>
            </a:r>
          </a:p>
        </c:rich>
      </c:tx>
      <c:overlay val="1"/>
    </c:title>
    <c:autoTitleDeleted val="0"/>
    <c:plotArea>
      <c:layout/>
      <c:barChart>
        <c:barDir val="col"/>
        <c:grouping val="clustered"/>
        <c:varyColors val="1"/>
        <c:ser>
          <c:idx val="0"/>
          <c:order val="0"/>
          <c:tx>
            <c:strRef>
              <c:f>Basket!$E$9</c:f>
              <c:strCache>
                <c:ptCount val="1"/>
                <c:pt idx="0">
                  <c:v>Contribution to the measured number</c:v>
                </c:pt>
              </c:strCache>
            </c:strRef>
          </c:tx>
          <c:spPr>
            <a:ln>
              <a:prstDash val="solid"/>
            </a:ln>
          </c:spPr>
          <c:invertIfNegative val="1"/>
          <c:cat>
            <c:strRef>
              <c:f>Basket!$A$10:$A$17</c:f>
              <c:strCache>
                <c:ptCount val="8"/>
                <c:pt idx="0">
                  <c:v>Food and staples</c:v>
                </c:pt>
                <c:pt idx="1">
                  <c:v>Housing and rent</c:v>
                </c:pt>
                <c:pt idx="2">
                  <c:v>Transport and fares</c:v>
                </c:pt>
                <c:pt idx="3">
                  <c:v>Education and tuition</c:v>
                </c:pt>
                <c:pt idx="4">
                  <c:v>Healthcare</c:v>
                </c:pt>
                <c:pt idx="5">
                  <c:v>Fuel and petrol</c:v>
                </c:pt>
                <c:pt idx="6">
                  <c:v>Foreign travel</c:v>
                </c:pt>
                <c:pt idx="7">
                  <c:v>Everything else</c:v>
                </c:pt>
              </c:strCache>
            </c:strRef>
          </c:cat>
          <c:val>
            <c:numRef>
              <c:f>Basket!$E$10:$E$17</c:f>
              <c:numCache>
                <c:formatCode>0.00%;\(0.00%\);\-</c:formatCode>
                <c:ptCount val="8"/>
                <c:pt idx="0">
                  <c:v>8.8000000000000005E-3</c:v>
                </c:pt>
                <c:pt idx="1">
                  <c:v>1.9799999999999998E-2</c:v>
                </c:pt>
                <c:pt idx="2">
                  <c:v>2.3999999999999998E-3</c:v>
                </c:pt>
                <c:pt idx="3">
                  <c:v>7.000000000000001E-3</c:v>
                </c:pt>
                <c:pt idx="4">
                  <c:v>5.6000000000000008E-3</c:v>
                </c:pt>
                <c:pt idx="5">
                  <c:v>7.6E-3</c:v>
                </c:pt>
                <c:pt idx="6">
                  <c:v>3.5999999999999999E-3</c:v>
                </c:pt>
                <c:pt idx="7">
                  <c:v>1.9499999999999999E-3</c:v>
                </c:pt>
              </c:numCache>
            </c:numRef>
          </c:val>
          <c:extLst>
            <c:ext xmlns:c16="http://schemas.microsoft.com/office/drawing/2014/chart" uri="{C3380CC4-5D6E-409C-BE32-E72D297353CC}">
              <c16:uniqueId val="{00000000-15B7-4AF1-B299-6D9F1332F7E6}"/>
            </c:ext>
          </c:extLst>
        </c:ser>
        <c:ser>
          <c:idx val="1"/>
          <c:order val="1"/>
          <c:tx>
            <c:strRef>
              <c:f>Basket!$F$9</c:f>
              <c:strCache>
                <c:ptCount val="1"/>
                <c:pt idx="0">
                  <c:v>Contribution to the lived number</c:v>
                </c:pt>
              </c:strCache>
            </c:strRef>
          </c:tx>
          <c:spPr>
            <a:ln>
              <a:prstDash val="solid"/>
            </a:ln>
          </c:spPr>
          <c:invertIfNegative val="1"/>
          <c:cat>
            <c:strRef>
              <c:f>Basket!$A$10:$A$17</c:f>
              <c:strCache>
                <c:ptCount val="8"/>
                <c:pt idx="0">
                  <c:v>Food and staples</c:v>
                </c:pt>
                <c:pt idx="1">
                  <c:v>Housing and rent</c:v>
                </c:pt>
                <c:pt idx="2">
                  <c:v>Transport and fares</c:v>
                </c:pt>
                <c:pt idx="3">
                  <c:v>Education and tuition</c:v>
                </c:pt>
                <c:pt idx="4">
                  <c:v>Healthcare</c:v>
                </c:pt>
                <c:pt idx="5">
                  <c:v>Fuel and petrol</c:v>
                </c:pt>
                <c:pt idx="6">
                  <c:v>Foreign travel</c:v>
                </c:pt>
                <c:pt idx="7">
                  <c:v>Everything else</c:v>
                </c:pt>
              </c:strCache>
            </c:strRef>
          </c:cat>
          <c:val>
            <c:numRef>
              <c:f>Basket!$F$10:$F$17</c:f>
              <c:numCache>
                <c:formatCode>0.00%;\(0.00%\);\-</c:formatCode>
                <c:ptCount val="8"/>
                <c:pt idx="0">
                  <c:v>2.8000000000000004E-3</c:v>
                </c:pt>
                <c:pt idx="1">
                  <c:v>2.07E-2</c:v>
                </c:pt>
                <c:pt idx="2">
                  <c:v>1.6000000000000001E-3</c:v>
                </c:pt>
                <c:pt idx="3">
                  <c:v>3.0800000000000004E-2</c:v>
                </c:pt>
                <c:pt idx="4">
                  <c:v>2.1000000000000001E-2</c:v>
                </c:pt>
                <c:pt idx="5">
                  <c:v>3.2300000000000002E-2</c:v>
                </c:pt>
                <c:pt idx="6">
                  <c:v>3.5999999999999999E-3</c:v>
                </c:pt>
                <c:pt idx="7">
                  <c:v>4.4999999999999999E-4</c:v>
                </c:pt>
              </c:numCache>
            </c:numRef>
          </c:val>
          <c:extLst>
            <c:ext xmlns:c16="http://schemas.microsoft.com/office/drawing/2014/chart" uri="{C3380CC4-5D6E-409C-BE32-E72D297353CC}">
              <c16:uniqueId val="{00000001-15B7-4AF1-B299-6D9F1332F7E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Percentage points</a:t>
                </a:r>
              </a:p>
            </c:rich>
          </c:tx>
          <c:overlay val="1"/>
        </c:title>
        <c:numFmt formatCode="0.00%;\(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Your weights against the index weights</a:t>
            </a:r>
          </a:p>
        </c:rich>
      </c:tx>
      <c:overlay val="1"/>
    </c:title>
    <c:autoTitleDeleted val="0"/>
    <c:plotArea>
      <c:layout/>
      <c:barChart>
        <c:barDir val="bar"/>
        <c:grouping val="clustered"/>
        <c:varyColors val="1"/>
        <c:ser>
          <c:idx val="0"/>
          <c:order val="0"/>
          <c:tx>
            <c:strRef>
              <c:f>Your_Basket!$C$8</c:f>
              <c:strCache>
                <c:ptCount val="1"/>
                <c:pt idx="0">
                  <c:v>Your weight</c:v>
                </c:pt>
              </c:strCache>
            </c:strRef>
          </c:tx>
          <c:spPr>
            <a:ln>
              <a:prstDash val="solid"/>
            </a:ln>
          </c:spPr>
          <c:invertIfNegative val="1"/>
          <c:cat>
            <c:strRef>
              <c:f>Your_Basket!$A$9:$A$16</c:f>
              <c:strCache>
                <c:ptCount val="8"/>
                <c:pt idx="0">
                  <c:v>Food and staples</c:v>
                </c:pt>
                <c:pt idx="1">
                  <c:v>Housing and rent</c:v>
                </c:pt>
                <c:pt idx="2">
                  <c:v>Transport and fares</c:v>
                </c:pt>
                <c:pt idx="3">
                  <c:v>Education and tuition</c:v>
                </c:pt>
                <c:pt idx="4">
                  <c:v>Healthcare</c:v>
                </c:pt>
                <c:pt idx="5">
                  <c:v>Fuel and petrol</c:v>
                </c:pt>
                <c:pt idx="6">
                  <c:v>Foreign travel</c:v>
                </c:pt>
                <c:pt idx="7">
                  <c:v>Everything else</c:v>
                </c:pt>
              </c:strCache>
            </c:strRef>
          </c:cat>
          <c:val>
            <c:numRef>
              <c:f>Your_Basket!$C$9:$C$16</c:f>
              <c:numCache>
                <c:formatCode>0.0%;\(0.0%\);\-</c:formatCode>
                <c:ptCount val="8"/>
                <c:pt idx="0">
                  <c:v>0.14000000000000001</c:v>
                </c:pt>
                <c:pt idx="1">
                  <c:v>0.23</c:v>
                </c:pt>
                <c:pt idx="2">
                  <c:v>0.04</c:v>
                </c:pt>
                <c:pt idx="3">
                  <c:v>0.22</c:v>
                </c:pt>
                <c:pt idx="4">
                  <c:v>0.15</c:v>
                </c:pt>
                <c:pt idx="5">
                  <c:v>0.17</c:v>
                </c:pt>
                <c:pt idx="6">
                  <c:v>0.02</c:v>
                </c:pt>
                <c:pt idx="7">
                  <c:v>0.03</c:v>
                </c:pt>
              </c:numCache>
            </c:numRef>
          </c:val>
          <c:extLst>
            <c:ext xmlns:c16="http://schemas.microsoft.com/office/drawing/2014/chart" uri="{C3380CC4-5D6E-409C-BE32-E72D297353CC}">
              <c16:uniqueId val="{00000000-4E1C-43B9-9254-C88DE44F13C6}"/>
            </c:ext>
          </c:extLst>
        </c:ser>
        <c:ser>
          <c:idx val="1"/>
          <c:order val="1"/>
          <c:tx>
            <c:strRef>
              <c:f>Your_Basket!$D$8</c:f>
              <c:strCache>
                <c:ptCount val="1"/>
                <c:pt idx="0">
                  <c:v>Index weight</c:v>
                </c:pt>
              </c:strCache>
            </c:strRef>
          </c:tx>
          <c:spPr>
            <a:ln>
              <a:prstDash val="solid"/>
            </a:ln>
          </c:spPr>
          <c:invertIfNegative val="1"/>
          <c:cat>
            <c:strRef>
              <c:f>Your_Basket!$A$9:$A$16</c:f>
              <c:strCache>
                <c:ptCount val="8"/>
                <c:pt idx="0">
                  <c:v>Food and staples</c:v>
                </c:pt>
                <c:pt idx="1">
                  <c:v>Housing and rent</c:v>
                </c:pt>
                <c:pt idx="2">
                  <c:v>Transport and fares</c:v>
                </c:pt>
                <c:pt idx="3">
                  <c:v>Education and tuition</c:v>
                </c:pt>
                <c:pt idx="4">
                  <c:v>Healthcare</c:v>
                </c:pt>
                <c:pt idx="5">
                  <c:v>Fuel and petrol</c:v>
                </c:pt>
                <c:pt idx="6">
                  <c:v>Foreign travel</c:v>
                </c:pt>
                <c:pt idx="7">
                  <c:v>Everything else</c:v>
                </c:pt>
              </c:strCache>
            </c:strRef>
          </c:cat>
          <c:val>
            <c:numRef>
              <c:f>Your_Basket!$D$9:$D$16</c:f>
              <c:numCache>
                <c:formatCode>0.0%;\(0.0%\);\-</c:formatCode>
                <c:ptCount val="8"/>
                <c:pt idx="0">
                  <c:v>0.44</c:v>
                </c:pt>
                <c:pt idx="1">
                  <c:v>0.22</c:v>
                </c:pt>
                <c:pt idx="2">
                  <c:v>0.06</c:v>
                </c:pt>
                <c:pt idx="3">
                  <c:v>0.05</c:v>
                </c:pt>
                <c:pt idx="4">
                  <c:v>0.04</c:v>
                </c:pt>
                <c:pt idx="5">
                  <c:v>0.04</c:v>
                </c:pt>
                <c:pt idx="6">
                  <c:v>0.02</c:v>
                </c:pt>
                <c:pt idx="7">
                  <c:v>0.13</c:v>
                </c:pt>
              </c:numCache>
            </c:numRef>
          </c:val>
          <c:extLst>
            <c:ext xmlns:c16="http://schemas.microsoft.com/office/drawing/2014/chart" uri="{C3380CC4-5D6E-409C-BE32-E72D297353CC}">
              <c16:uniqueId val="{00000001-4E1C-43B9-9254-C88DE44F13C6}"/>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Purchasing power retained, after a full inflation adjustment every year</a:t>
            </a:r>
          </a:p>
        </c:rich>
      </c:tx>
      <c:overlay val="1"/>
    </c:title>
    <c:autoTitleDeleted val="0"/>
    <c:plotArea>
      <c:layout/>
      <c:lineChart>
        <c:grouping val="standard"/>
        <c:varyColors val="1"/>
        <c:ser>
          <c:idx val="0"/>
          <c:order val="0"/>
          <c:tx>
            <c:strRef>
              <c:f>Over_Time!$H$8</c:f>
              <c:strCache>
                <c:ptCount val="1"/>
                <c:pt idx="0">
                  <c:v>Purchasing power retained</c:v>
                </c:pt>
              </c:strCache>
            </c:strRef>
          </c:tx>
          <c:spPr>
            <a:ln w="26000">
              <a:solidFill>
                <a:srgbClr val="B07D2B"/>
              </a:solidFill>
              <a:prstDash val="solid"/>
            </a:ln>
          </c:spPr>
          <c:marker>
            <c:symbol val="none"/>
          </c:marker>
          <c:cat>
            <c:strRef>
              <c:f>Over_Time!$A$9:$A$24</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Over_Time!$H$9:$H$24</c:f>
              <c:numCache>
                <c:formatCode>0.0%;\(0.0%\);\-</c:formatCode>
                <c:ptCount val="16"/>
                <c:pt idx="0">
                  <c:v>1</c:v>
                </c:pt>
                <c:pt idx="1">
                  <c:v>0.93481727674227089</c:v>
                </c:pt>
                <c:pt idx="2">
                  <c:v>0.87388334089583564</c:v>
                </c:pt>
                <c:pt idx="3">
                  <c:v>0.81692124492668272</c:v>
                </c:pt>
                <c:pt idx="4">
                  <c:v>0.76367209349526721</c:v>
                </c:pt>
                <c:pt idx="5">
                  <c:v>0.71389386676531474</c:v>
                </c:pt>
                <c:pt idx="6">
                  <c:v>0.6673603204125611</c:v>
                </c:pt>
                <c:pt idx="7">
                  <c:v>0.62385995733391997</c:v>
                </c:pt>
                <c:pt idx="8">
                  <c:v>0.58319506638344432</c:v>
                </c:pt>
                <c:pt idx="9">
                  <c:v>0.54518082376609944</c:v>
                </c:pt>
                <c:pt idx="10">
                  <c:v>0.50964445300513306</c:v>
                </c:pt>
                <c:pt idx="11">
                  <c:v>0.47642443966506282</c:v>
                </c:pt>
                <c:pt idx="12">
                  <c:v>0.44536979726115639</c:v>
                </c:pt>
                <c:pt idx="13">
                  <c:v>0.41633938101893164</c:v>
                </c:pt>
                <c:pt idx="14">
                  <c:v>0.38920124636468034</c:v>
                </c:pt>
                <c:pt idx="15">
                  <c:v>0.36383204923132823</c:v>
                </c:pt>
              </c:numCache>
            </c:numRef>
          </c:val>
          <c:smooth val="0"/>
          <c:extLst>
            <c:ext xmlns:c16="http://schemas.microsoft.com/office/drawing/2014/chart" uri="{C3380CC4-5D6E-409C-BE32-E72D297353CC}">
              <c16:uniqueId val="{00000000-6E02-4C26-9F21-7F3546117C58}"/>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Year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Share of Year-0 purchasing power</a:t>
                </a:r>
              </a:p>
            </c:rich>
          </c:tx>
          <c:overlay val="1"/>
        </c:title>
        <c:numFmt formatCode="0.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9</xdr:col>
      <xdr:colOff>0</xdr:colOff>
      <xdr:row>8</xdr:row>
      <xdr:rowOff>0</xdr:rowOff>
    </xdr:from>
    <xdr:ext cx="7920000" cy="396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18</xdr:row>
      <xdr:rowOff>0</xdr:rowOff>
    </xdr:from>
    <xdr:ext cx="7200000" cy="396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8</xdr:row>
      <xdr:rowOff>0</xdr:rowOff>
    </xdr:from>
    <xdr:ext cx="7920000" cy="396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5otcFOL8IN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38"/>
  </sheetPr>
  <dimension ref="A1:B34"/>
  <sheetViews>
    <sheetView showGridLines="0" workbookViewId="0">
      <selection activeCell="A34" sqref="A34:XFD34"/>
    </sheetView>
  </sheetViews>
  <sheetFormatPr defaultRowHeight="14.5" x14ac:dyDescent="0.35"/>
  <cols>
    <col min="1" max="1" width="28" style="3" customWidth="1"/>
    <col min="2" max="2" width="116" style="3" customWidth="1"/>
    <col min="3" max="16384" width="8.7265625" style="3"/>
  </cols>
  <sheetData>
    <row r="1" spans="1:2" ht="24" customHeight="1" x14ac:dyDescent="0.35">
      <c r="A1" s="2" t="s">
        <v>0</v>
      </c>
    </row>
    <row r="2" spans="1:2" x14ac:dyDescent="0.35">
      <c r="A2" s="4" t="s">
        <v>1</v>
      </c>
    </row>
    <row r="3" spans="1:2" x14ac:dyDescent="0.35">
      <c r="A3" s="5"/>
      <c r="B3" s="5"/>
    </row>
    <row r="4" spans="1:2" ht="14" customHeight="1" x14ac:dyDescent="0.35">
      <c r="A4" s="68" t="s">
        <v>2</v>
      </c>
      <c r="B4" s="69"/>
    </row>
    <row r="6" spans="1:2" ht="18" customHeight="1" x14ac:dyDescent="0.35">
      <c r="A6" s="7" t="s">
        <v>3</v>
      </c>
      <c r="B6" s="7"/>
    </row>
    <row r="7" spans="1:2" ht="26" customHeight="1" x14ac:dyDescent="0.35">
      <c r="A7" s="8" t="s">
        <v>4</v>
      </c>
      <c r="B7" s="6" t="s">
        <v>5</v>
      </c>
    </row>
    <row r="8" spans="1:2" ht="26" customHeight="1" x14ac:dyDescent="0.35">
      <c r="A8" s="8" t="s">
        <v>6</v>
      </c>
      <c r="B8" s="6" t="s">
        <v>7</v>
      </c>
    </row>
    <row r="9" spans="1:2" ht="26" customHeight="1" x14ac:dyDescent="0.35">
      <c r="A9" s="8" t="s">
        <v>8</v>
      </c>
      <c r="B9" s="6" t="s">
        <v>9</v>
      </c>
    </row>
    <row r="10" spans="1:2" ht="26" customHeight="1" x14ac:dyDescent="0.35">
      <c r="A10" s="8" t="s">
        <v>10</v>
      </c>
      <c r="B10" s="6" t="s">
        <v>11</v>
      </c>
    </row>
    <row r="11" spans="1:2" ht="26" customHeight="1" x14ac:dyDescent="0.35">
      <c r="A11" s="8" t="s">
        <v>12</v>
      </c>
      <c r="B11" s="6" t="s">
        <v>13</v>
      </c>
    </row>
    <row r="12" spans="1:2" ht="26" customHeight="1" x14ac:dyDescent="0.35">
      <c r="A12" s="8" t="s">
        <v>14</v>
      </c>
      <c r="B12" s="6" t="s">
        <v>15</v>
      </c>
    </row>
    <row r="14" spans="1:2" ht="18" customHeight="1" x14ac:dyDescent="0.35">
      <c r="A14" s="7" t="s">
        <v>16</v>
      </c>
      <c r="B14" s="7"/>
    </row>
    <row r="15" spans="1:2" ht="14" customHeight="1" x14ac:dyDescent="0.35">
      <c r="A15" s="68" t="s">
        <v>17</v>
      </c>
      <c r="B15" s="69"/>
    </row>
    <row r="16" spans="1:2" ht="14" customHeight="1" x14ac:dyDescent="0.35">
      <c r="A16" s="68" t="s">
        <v>18</v>
      </c>
      <c r="B16" s="69"/>
    </row>
    <row r="17" spans="1:2" ht="14" customHeight="1" x14ac:dyDescent="0.35">
      <c r="A17" s="68" t="s">
        <v>19</v>
      </c>
      <c r="B17" s="69"/>
    </row>
    <row r="18" spans="1:2" ht="14" customHeight="1" x14ac:dyDescent="0.35">
      <c r="A18" s="68" t="s">
        <v>20</v>
      </c>
      <c r="B18" s="69"/>
    </row>
    <row r="20" spans="1:2" ht="18" customHeight="1" x14ac:dyDescent="0.35">
      <c r="A20" s="7" t="s">
        <v>21</v>
      </c>
      <c r="B20" s="7"/>
    </row>
    <row r="21" spans="1:2" ht="14" customHeight="1" x14ac:dyDescent="0.35">
      <c r="A21" s="68" t="s">
        <v>22</v>
      </c>
      <c r="B21" s="69"/>
    </row>
    <row r="22" spans="1:2" ht="14" customHeight="1" x14ac:dyDescent="0.35">
      <c r="A22" s="68" t="s">
        <v>23</v>
      </c>
      <c r="B22" s="69"/>
    </row>
    <row r="24" spans="1:2" ht="18" customHeight="1" x14ac:dyDescent="0.35">
      <c r="A24" s="7" t="s">
        <v>24</v>
      </c>
      <c r="B24" s="7"/>
    </row>
    <row r="25" spans="1:2" ht="26" customHeight="1" x14ac:dyDescent="0.35">
      <c r="A25" s="70" t="s">
        <v>25</v>
      </c>
      <c r="B25" s="69"/>
    </row>
    <row r="26" spans="1:2" ht="26" customHeight="1" x14ac:dyDescent="0.35">
      <c r="A26" s="70" t="s">
        <v>26</v>
      </c>
      <c r="B26" s="69"/>
    </row>
    <row r="27" spans="1:2" ht="26" customHeight="1" x14ac:dyDescent="0.35">
      <c r="A27" s="70" t="s">
        <v>27</v>
      </c>
      <c r="B27" s="69"/>
    </row>
    <row r="28" spans="1:2" ht="26" customHeight="1" x14ac:dyDescent="0.35">
      <c r="A28" s="70" t="s">
        <v>28</v>
      </c>
      <c r="B28" s="69"/>
    </row>
    <row r="30" spans="1:2" ht="18" customHeight="1" x14ac:dyDescent="0.35">
      <c r="A30" s="7" t="s">
        <v>29</v>
      </c>
      <c r="B30" s="7"/>
    </row>
    <row r="31" spans="1:2" ht="14" customHeight="1" x14ac:dyDescent="0.35">
      <c r="A31" s="68" t="s">
        <v>30</v>
      </c>
      <c r="B31" s="69"/>
    </row>
    <row r="32" spans="1:2" ht="14" customHeight="1" x14ac:dyDescent="0.35">
      <c r="A32" s="68" t="s">
        <v>31</v>
      </c>
      <c r="B32" s="69"/>
    </row>
    <row r="34" spans="1:2" ht="14" customHeight="1" x14ac:dyDescent="0.35">
      <c r="A34" s="71"/>
      <c r="B34" s="69"/>
    </row>
  </sheetData>
  <mergeCells count="14">
    <mergeCell ref="A34:B34"/>
    <mergeCell ref="A28:B28"/>
    <mergeCell ref="A32:B32"/>
    <mergeCell ref="A17:B17"/>
    <mergeCell ref="A18:B18"/>
    <mergeCell ref="A27:B27"/>
    <mergeCell ref="A31:B31"/>
    <mergeCell ref="A22:B22"/>
    <mergeCell ref="A4:B4"/>
    <mergeCell ref="A26:B26"/>
    <mergeCell ref="A21:B21"/>
    <mergeCell ref="A16:B16"/>
    <mergeCell ref="A15:B15"/>
    <mergeCell ref="A25:B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07D2B"/>
  </sheetPr>
  <dimension ref="A1:D38"/>
  <sheetViews>
    <sheetView showGridLines="0" tabSelected="1" workbookViewId="0"/>
  </sheetViews>
  <sheetFormatPr defaultRowHeight="14.5" x14ac:dyDescent="0.35"/>
  <cols>
    <col min="1" max="1" width="26" style="3" customWidth="1"/>
    <col min="2" max="2" width="36" style="3" customWidth="1"/>
    <col min="3" max="3" width="32" style="3" customWidth="1"/>
    <col min="4" max="4" width="72" style="3" customWidth="1"/>
    <col min="5" max="16384" width="8.7265625" style="3"/>
  </cols>
  <sheetData>
    <row r="1" spans="1:4" ht="24" customHeight="1" x14ac:dyDescent="0.35">
      <c r="A1" s="2" t="s">
        <v>32</v>
      </c>
    </row>
    <row r="2" spans="1:4" x14ac:dyDescent="0.35">
      <c r="A2" s="4" t="s">
        <v>33</v>
      </c>
    </row>
    <row r="3" spans="1:4" x14ac:dyDescent="0.35">
      <c r="A3" s="1" t="s">
        <v>286</v>
      </c>
      <c r="B3" s="5"/>
      <c r="C3" s="5"/>
      <c r="D3" s="5"/>
    </row>
    <row r="4" spans="1:4" ht="12.5" customHeight="1" x14ac:dyDescent="0.35">
      <c r="A4" s="70" t="s">
        <v>34</v>
      </c>
      <c r="B4" s="69"/>
      <c r="C4" s="69"/>
      <c r="D4" s="69"/>
    </row>
    <row r="5" spans="1:4" ht="12.5" customHeight="1" x14ac:dyDescent="0.35">
      <c r="A5" s="70" t="s">
        <v>35</v>
      </c>
      <c r="B5" s="69"/>
      <c r="C5" s="69"/>
      <c r="D5" s="69"/>
    </row>
    <row r="7" spans="1:4" ht="18" customHeight="1" x14ac:dyDescent="0.35">
      <c r="A7" s="7" t="s">
        <v>36</v>
      </c>
      <c r="B7" s="7"/>
      <c r="C7" s="7"/>
      <c r="D7" s="7"/>
    </row>
    <row r="8" spans="1:4" x14ac:dyDescent="0.35">
      <c r="A8" s="8" t="s">
        <v>37</v>
      </c>
      <c r="B8" s="9">
        <f>cpi_meas</f>
        <v>4.0685333333333337E-2</v>
      </c>
      <c r="C8" s="10" t="s">
        <v>38</v>
      </c>
      <c r="D8" s="11" t="s">
        <v>39</v>
      </c>
    </row>
    <row r="9" spans="1:4" x14ac:dyDescent="0.35">
      <c r="A9" s="8" t="s">
        <v>40</v>
      </c>
      <c r="B9" s="9">
        <f>cpi_lived</f>
        <v>0.11325000000000003</v>
      </c>
      <c r="C9" s="10" t="s">
        <v>41</v>
      </c>
      <c r="D9" s="11" t="s">
        <v>39</v>
      </c>
    </row>
    <row r="11" spans="1:4" ht="18" customHeight="1" x14ac:dyDescent="0.35">
      <c r="A11" s="7" t="s">
        <v>42</v>
      </c>
      <c r="B11" s="7"/>
      <c r="C11" s="7"/>
      <c r="D11" s="7"/>
    </row>
    <row r="12" spans="1:4" x14ac:dyDescent="0.35">
      <c r="A12" s="12" t="s">
        <v>43</v>
      </c>
      <c r="B12" s="12" t="s">
        <v>44</v>
      </c>
      <c r="C12" s="12" t="s">
        <v>45</v>
      </c>
      <c r="D12" s="12" t="s">
        <v>46</v>
      </c>
    </row>
    <row r="13" spans="1:4" ht="26" customHeight="1" x14ac:dyDescent="0.35">
      <c r="A13" s="13" t="s">
        <v>47</v>
      </c>
      <c r="B13" s="14" t="s">
        <v>48</v>
      </c>
      <c r="C13" s="15" t="s">
        <v>49</v>
      </c>
      <c r="D13" s="16" t="s">
        <v>50</v>
      </c>
    </row>
    <row r="14" spans="1:4" ht="26" customHeight="1" x14ac:dyDescent="0.35">
      <c r="A14" s="13" t="s">
        <v>51</v>
      </c>
      <c r="B14" s="14" t="s">
        <v>52</v>
      </c>
      <c r="C14" s="15" t="s">
        <v>53</v>
      </c>
      <c r="D14" s="16" t="s">
        <v>54</v>
      </c>
    </row>
    <row r="15" spans="1:4" ht="26" customHeight="1" x14ac:dyDescent="0.35">
      <c r="A15" s="13" t="s">
        <v>55</v>
      </c>
      <c r="B15" s="14" t="s">
        <v>56</v>
      </c>
      <c r="C15" s="15" t="s">
        <v>57</v>
      </c>
      <c r="D15" s="16" t="s">
        <v>58</v>
      </c>
    </row>
    <row r="16" spans="1:4" ht="26" customHeight="1" x14ac:dyDescent="0.35">
      <c r="A16" s="13" t="s">
        <v>59</v>
      </c>
      <c r="B16" s="14" t="s">
        <v>60</v>
      </c>
      <c r="C16" s="15" t="s">
        <v>61</v>
      </c>
      <c r="D16" s="16" t="s">
        <v>62</v>
      </c>
    </row>
    <row r="17" spans="1:4" ht="26" customHeight="1" x14ac:dyDescent="0.35">
      <c r="A17" s="13" t="s">
        <v>63</v>
      </c>
      <c r="B17" s="14" t="s">
        <v>64</v>
      </c>
      <c r="C17" s="15" t="s">
        <v>65</v>
      </c>
      <c r="D17" s="16" t="s">
        <v>66</v>
      </c>
    </row>
    <row r="18" spans="1:4" ht="26" customHeight="1" x14ac:dyDescent="0.35">
      <c r="A18" s="13" t="s">
        <v>67</v>
      </c>
      <c r="B18" s="14" t="s">
        <v>68</v>
      </c>
      <c r="C18" s="15" t="s">
        <v>69</v>
      </c>
      <c r="D18" s="16" t="s">
        <v>70</v>
      </c>
    </row>
    <row r="19" spans="1:4" ht="26" customHeight="1" x14ac:dyDescent="0.35">
      <c r="A19" s="13" t="s">
        <v>71</v>
      </c>
      <c r="B19" s="14" t="s">
        <v>72</v>
      </c>
      <c r="C19" s="15" t="s">
        <v>73</v>
      </c>
      <c r="D19" s="16" t="s">
        <v>74</v>
      </c>
    </row>
    <row r="20" spans="1:4" ht="26" customHeight="1" x14ac:dyDescent="0.35">
      <c r="A20" s="13" t="s">
        <v>75</v>
      </c>
      <c r="B20" s="14" t="s">
        <v>76</v>
      </c>
      <c r="C20" s="15" t="s">
        <v>77</v>
      </c>
      <c r="D20" s="16" t="s">
        <v>78</v>
      </c>
    </row>
    <row r="21" spans="1:4" ht="26" customHeight="1" x14ac:dyDescent="0.35">
      <c r="A21" s="13" t="s">
        <v>79</v>
      </c>
      <c r="B21" s="14" t="s">
        <v>80</v>
      </c>
      <c r="C21" s="15" t="s">
        <v>81</v>
      </c>
      <c r="D21" s="16" t="s">
        <v>82</v>
      </c>
    </row>
    <row r="22" spans="1:4" ht="26" customHeight="1" x14ac:dyDescent="0.35">
      <c r="A22" s="13" t="s">
        <v>83</v>
      </c>
      <c r="B22" s="14" t="s">
        <v>84</v>
      </c>
      <c r="C22" s="15" t="s">
        <v>85</v>
      </c>
      <c r="D22" s="16" t="s">
        <v>86</v>
      </c>
    </row>
    <row r="24" spans="1:4" ht="18" customHeight="1" x14ac:dyDescent="0.35">
      <c r="A24" s="7" t="s">
        <v>87</v>
      </c>
      <c r="B24" s="7"/>
      <c r="C24" s="7"/>
      <c r="D24" s="7"/>
    </row>
    <row r="25" spans="1:4" x14ac:dyDescent="0.35">
      <c r="A25" s="12" t="s">
        <v>88</v>
      </c>
      <c r="B25" s="12" t="s">
        <v>89</v>
      </c>
      <c r="C25" s="12" t="s">
        <v>90</v>
      </c>
      <c r="D25" s="12" t="s">
        <v>91</v>
      </c>
    </row>
    <row r="26" spans="1:4" ht="26" customHeight="1" x14ac:dyDescent="0.35">
      <c r="A26" s="17" t="s">
        <v>92</v>
      </c>
      <c r="B26" s="15" t="s">
        <v>93</v>
      </c>
      <c r="C26" s="14" t="s">
        <v>94</v>
      </c>
      <c r="D26" s="16" t="s">
        <v>95</v>
      </c>
    </row>
    <row r="27" spans="1:4" ht="26" customHeight="1" x14ac:dyDescent="0.35">
      <c r="A27" s="17" t="s">
        <v>96</v>
      </c>
      <c r="B27" s="15" t="s">
        <v>97</v>
      </c>
      <c r="C27" s="14" t="s">
        <v>53</v>
      </c>
      <c r="D27" s="16" t="s">
        <v>98</v>
      </c>
    </row>
    <row r="28" spans="1:4" ht="26" customHeight="1" x14ac:dyDescent="0.35">
      <c r="A28" s="17" t="s">
        <v>99</v>
      </c>
      <c r="B28" s="15" t="s">
        <v>100</v>
      </c>
      <c r="C28" s="14" t="s">
        <v>101</v>
      </c>
      <c r="D28" s="16" t="s">
        <v>102</v>
      </c>
    </row>
    <row r="29" spans="1:4" ht="26" customHeight="1" x14ac:dyDescent="0.35">
      <c r="A29" s="17" t="s">
        <v>103</v>
      </c>
      <c r="B29" s="15" t="s">
        <v>104</v>
      </c>
      <c r="C29" s="14" t="s">
        <v>65</v>
      </c>
      <c r="D29" s="16" t="s">
        <v>105</v>
      </c>
    </row>
    <row r="30" spans="1:4" ht="26" customHeight="1" x14ac:dyDescent="0.35">
      <c r="A30" s="17" t="s">
        <v>106</v>
      </c>
      <c r="B30" s="15" t="s">
        <v>107</v>
      </c>
      <c r="C30" s="14" t="s">
        <v>69</v>
      </c>
      <c r="D30" s="16" t="s">
        <v>108</v>
      </c>
    </row>
    <row r="31" spans="1:4" ht="26" customHeight="1" x14ac:dyDescent="0.35">
      <c r="A31" s="17" t="s">
        <v>109</v>
      </c>
      <c r="B31" s="15" t="s">
        <v>110</v>
      </c>
      <c r="C31" s="14" t="s">
        <v>73</v>
      </c>
      <c r="D31" s="16" t="s">
        <v>111</v>
      </c>
    </row>
    <row r="32" spans="1:4" ht="26" customHeight="1" x14ac:dyDescent="0.35">
      <c r="A32" s="17" t="s">
        <v>112</v>
      </c>
      <c r="B32" s="15" t="s">
        <v>113</v>
      </c>
      <c r="C32" s="14" t="s">
        <v>114</v>
      </c>
      <c r="D32" s="16" t="s">
        <v>115</v>
      </c>
    </row>
    <row r="33" spans="1:4" ht="26" customHeight="1" x14ac:dyDescent="0.35">
      <c r="A33" s="17" t="s">
        <v>116</v>
      </c>
      <c r="B33" s="15" t="s">
        <v>117</v>
      </c>
      <c r="C33" s="14" t="s">
        <v>85</v>
      </c>
      <c r="D33" s="16" t="s">
        <v>118</v>
      </c>
    </row>
    <row r="35" spans="1:4" ht="18" customHeight="1" x14ac:dyDescent="0.35">
      <c r="A35" s="7" t="s">
        <v>119</v>
      </c>
      <c r="B35" s="7"/>
      <c r="C35" s="7"/>
      <c r="D35" s="7"/>
    </row>
    <row r="36" spans="1:4" ht="15" customHeight="1" x14ac:dyDescent="0.35">
      <c r="A36" s="68" t="s">
        <v>120</v>
      </c>
      <c r="B36" s="69"/>
      <c r="C36" s="69"/>
      <c r="D36" s="69"/>
    </row>
    <row r="37" spans="1:4" x14ac:dyDescent="0.35">
      <c r="A37" s="69"/>
      <c r="B37" s="69"/>
      <c r="C37" s="69"/>
      <c r="D37" s="69"/>
    </row>
    <row r="38" spans="1:4" x14ac:dyDescent="0.35">
      <c r="A38" s="69"/>
      <c r="B38" s="69"/>
      <c r="C38" s="69"/>
      <c r="D38" s="69"/>
    </row>
  </sheetData>
  <mergeCells count="3">
    <mergeCell ref="A5:D5"/>
    <mergeCell ref="A36:D38"/>
    <mergeCell ref="A4:D4"/>
  </mergeCells>
  <hyperlinks>
    <hyperlink ref="A3" r:id="rId1" xr:uid="{9F9B5A01-9DE4-4D4D-A0B1-AF6CCAFEB803}"/>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07D2B"/>
  </sheetPr>
  <dimension ref="A1:C34"/>
  <sheetViews>
    <sheetView showGridLines="0" workbookViewId="0"/>
  </sheetViews>
  <sheetFormatPr defaultRowHeight="14.5" x14ac:dyDescent="0.35"/>
  <cols>
    <col min="1" max="1" width="56" style="3" customWidth="1"/>
    <col min="2" max="2" width="20" style="3" customWidth="1"/>
    <col min="3" max="3" width="80" style="3" customWidth="1"/>
    <col min="4" max="16384" width="8.7265625" style="3"/>
  </cols>
  <sheetData>
    <row r="1" spans="1:3" ht="24" customHeight="1" x14ac:dyDescent="0.35">
      <c r="A1" s="2" t="s">
        <v>121</v>
      </c>
    </row>
    <row r="2" spans="1:3" x14ac:dyDescent="0.35">
      <c r="A2" s="4" t="s">
        <v>117</v>
      </c>
    </row>
    <row r="3" spans="1:3" x14ac:dyDescent="0.35">
      <c r="A3" s="5"/>
      <c r="B3" s="5"/>
      <c r="C3" s="5"/>
    </row>
    <row r="4" spans="1:3" ht="12.5" customHeight="1" x14ac:dyDescent="0.35">
      <c r="A4" s="70" t="s">
        <v>122</v>
      </c>
      <c r="B4" s="69"/>
      <c r="C4" s="69"/>
    </row>
    <row r="5" spans="1:3" ht="12.5" customHeight="1" x14ac:dyDescent="0.35">
      <c r="A5" s="70" t="s">
        <v>123</v>
      </c>
      <c r="B5" s="69"/>
      <c r="C5" s="69"/>
    </row>
    <row r="7" spans="1:3" ht="18" customHeight="1" x14ac:dyDescent="0.35">
      <c r="A7" s="7" t="s">
        <v>124</v>
      </c>
      <c r="B7" s="7"/>
      <c r="C7" s="7"/>
    </row>
    <row r="8" spans="1:3" ht="17" x14ac:dyDescent="0.35">
      <c r="A8" s="18" t="s">
        <v>125</v>
      </c>
      <c r="B8" s="19">
        <f>cpi_meas</f>
        <v>4.0685333333333337E-2</v>
      </c>
      <c r="C8" s="11" t="s">
        <v>126</v>
      </c>
    </row>
    <row r="9" spans="1:3" ht="17" x14ac:dyDescent="0.35">
      <c r="A9" s="18" t="s">
        <v>127</v>
      </c>
      <c r="B9" s="19">
        <f>cpi_lived</f>
        <v>0.11325000000000003</v>
      </c>
      <c r="C9" s="11" t="s">
        <v>128</v>
      </c>
    </row>
    <row r="10" spans="1:3" x14ac:dyDescent="0.35">
      <c r="A10" s="20" t="s">
        <v>129</v>
      </c>
      <c r="B10" s="21">
        <f>cpi_gap</f>
        <v>7.2564666666666694E-2</v>
      </c>
      <c r="C10" s="11" t="s">
        <v>130</v>
      </c>
    </row>
    <row r="12" spans="1:3" ht="18" customHeight="1" x14ac:dyDescent="0.35">
      <c r="A12" s="7" t="s">
        <v>131</v>
      </c>
      <c r="B12" s="7"/>
      <c r="C12" s="7"/>
    </row>
    <row r="13" spans="1:3" x14ac:dyDescent="0.35">
      <c r="A13" s="22" t="s">
        <v>132</v>
      </c>
      <c r="B13" s="23">
        <f>cpi_lived-cpi_raw</f>
        <v>5.6500000000000029E-2</v>
      </c>
      <c r="C13" s="11" t="s">
        <v>133</v>
      </c>
    </row>
    <row r="14" spans="1:3" x14ac:dyDescent="0.35">
      <c r="A14" s="22" t="s">
        <v>134</v>
      </c>
      <c r="B14" s="23">
        <f>adj_sub</f>
        <v>1.0648000000000001E-2</v>
      </c>
      <c r="C14" s="11" t="s">
        <v>135</v>
      </c>
    </row>
    <row r="15" spans="1:3" x14ac:dyDescent="0.35">
      <c r="A15" s="22" t="s">
        <v>136</v>
      </c>
      <c r="B15" s="23">
        <f>adj_hed</f>
        <v>5.416666666666666E-3</v>
      </c>
      <c r="C15" s="11" t="s">
        <v>137</v>
      </c>
    </row>
    <row r="16" spans="1:3" ht="24" x14ac:dyDescent="0.35">
      <c r="A16" s="20" t="s">
        <v>138</v>
      </c>
      <c r="B16" s="21">
        <f>IFERROR((cpi_lived-cpi_raw)/cpi_gap,0)</f>
        <v>0.77861585528310395</v>
      </c>
      <c r="C16" s="11" t="s">
        <v>139</v>
      </c>
    </row>
    <row r="18" spans="1:3" ht="18" customHeight="1" x14ac:dyDescent="0.35">
      <c r="A18" s="7" t="s">
        <v>140</v>
      </c>
      <c r="B18" s="7"/>
      <c r="C18" s="7"/>
    </row>
    <row r="19" spans="1:3" x14ac:dyDescent="0.35">
      <c r="A19" s="20" t="s">
        <v>141</v>
      </c>
      <c r="B19" s="21">
        <f>yb_infl</f>
        <v>0.11325000000000003</v>
      </c>
      <c r="C19" s="11" t="s">
        <v>142</v>
      </c>
    </row>
    <row r="20" spans="1:3" x14ac:dyDescent="0.35">
      <c r="A20" s="22" t="s">
        <v>143</v>
      </c>
      <c r="B20" s="23">
        <f>yb_gap</f>
        <v>7.2564666666666694E-2</v>
      </c>
    </row>
    <row r="21" spans="1:3" x14ac:dyDescent="0.35">
      <c r="A21" s="22" t="s">
        <v>144</v>
      </c>
      <c r="B21" s="24">
        <f>yb_inc</f>
        <v>135900</v>
      </c>
      <c r="C21" s="11" t="s">
        <v>145</v>
      </c>
    </row>
    <row r="22" spans="1:3" x14ac:dyDescent="0.35">
      <c r="A22" s="8" t="s">
        <v>146</v>
      </c>
      <c r="B22" s="25">
        <f>yb_diff</f>
        <v>87077.6</v>
      </c>
      <c r="C22" s="11" t="s">
        <v>147</v>
      </c>
    </row>
    <row r="24" spans="1:3" ht="18" customHeight="1" x14ac:dyDescent="0.35">
      <c r="A24" s="7" t="s">
        <v>148</v>
      </c>
      <c r="B24" s="7"/>
      <c r="C24" s="7"/>
    </row>
    <row r="25" spans="1:3" x14ac:dyDescent="0.35">
      <c r="A25" s="22" t="s">
        <v>149</v>
      </c>
      <c r="B25" s="26">
        <f>ot_idx</f>
        <v>181.88274900804961</v>
      </c>
      <c r="C25" s="11" t="s">
        <v>150</v>
      </c>
    </row>
    <row r="26" spans="1:3" x14ac:dyDescent="0.35">
      <c r="A26" s="22" t="s">
        <v>151</v>
      </c>
      <c r="B26" s="26">
        <f>ot_hh</f>
        <v>499.90854129622517</v>
      </c>
      <c r="C26" s="11" t="s">
        <v>152</v>
      </c>
    </row>
    <row r="27" spans="1:3" x14ac:dyDescent="0.35">
      <c r="A27" s="20" t="s">
        <v>153</v>
      </c>
      <c r="B27" s="21">
        <f>pp_kept</f>
        <v>0.36383204923132823</v>
      </c>
      <c r="C27" s="11" t="s">
        <v>154</v>
      </c>
    </row>
    <row r="28" spans="1:3" x14ac:dyDescent="0.35">
      <c r="A28" s="22" t="s">
        <v>155</v>
      </c>
      <c r="B28" s="24">
        <f>half_year</f>
        <v>11</v>
      </c>
    </row>
    <row r="30" spans="1:3" ht="18" customHeight="1" x14ac:dyDescent="0.35">
      <c r="A30" s="7" t="s">
        <v>156</v>
      </c>
      <c r="B30" s="7"/>
      <c r="C30" s="7"/>
    </row>
    <row r="31" spans="1:3" ht="15" customHeight="1" x14ac:dyDescent="0.35">
      <c r="A31" s="68" t="s">
        <v>157</v>
      </c>
      <c r="B31" s="69"/>
      <c r="C31" s="69"/>
    </row>
    <row r="32" spans="1:3" x14ac:dyDescent="0.35">
      <c r="A32" s="69"/>
      <c r="B32" s="69"/>
      <c r="C32" s="69"/>
    </row>
    <row r="33" spans="1:3" x14ac:dyDescent="0.35">
      <c r="A33" s="69"/>
      <c r="B33" s="69"/>
      <c r="C33" s="69"/>
    </row>
    <row r="34" spans="1:3" x14ac:dyDescent="0.35">
      <c r="A34" s="69"/>
      <c r="B34" s="69"/>
      <c r="C34" s="69"/>
    </row>
  </sheetData>
  <mergeCells count="3">
    <mergeCell ref="A5:C5"/>
    <mergeCell ref="A4:C4"/>
    <mergeCell ref="A31:C3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07D2B"/>
  </sheetPr>
  <dimension ref="A1:H41"/>
  <sheetViews>
    <sheetView showGridLines="0" workbookViewId="0">
      <pane ySplit="9" topLeftCell="A15" activePane="bottomLeft" state="frozen"/>
      <selection pane="bottomLeft"/>
    </sheetView>
  </sheetViews>
  <sheetFormatPr defaultRowHeight="14.5" x14ac:dyDescent="0.35"/>
  <cols>
    <col min="1" max="1" width="30" style="3" customWidth="1"/>
    <col min="2" max="2" width="15" style="3" customWidth="1"/>
    <col min="3" max="3" width="17" style="3" customWidth="1"/>
    <col min="4" max="4" width="15" style="3" customWidth="1"/>
    <col min="5" max="6" width="17" style="3" customWidth="1"/>
    <col min="7" max="7" width="15" style="3" customWidth="1"/>
    <col min="8" max="8" width="62" style="3" customWidth="1"/>
    <col min="9" max="16384" width="8.7265625" style="3"/>
  </cols>
  <sheetData>
    <row r="1" spans="1:8" ht="24" customHeight="1" x14ac:dyDescent="0.35">
      <c r="A1" s="2" t="s">
        <v>158</v>
      </c>
    </row>
    <row r="2" spans="1:8" x14ac:dyDescent="0.35">
      <c r="A2" s="4" t="s">
        <v>159</v>
      </c>
    </row>
    <row r="3" spans="1:8" x14ac:dyDescent="0.35">
      <c r="A3" s="5"/>
      <c r="B3" s="5"/>
      <c r="C3" s="5"/>
      <c r="D3" s="5"/>
      <c r="E3" s="5"/>
      <c r="F3" s="5"/>
      <c r="G3" s="5"/>
      <c r="H3" s="5"/>
    </row>
    <row r="4" spans="1:8" ht="12.5" customHeight="1" x14ac:dyDescent="0.35">
      <c r="A4" s="70" t="s">
        <v>160</v>
      </c>
      <c r="B4" s="69"/>
      <c r="C4" s="69"/>
      <c r="D4" s="69"/>
      <c r="E4" s="69"/>
      <c r="F4" s="69"/>
      <c r="G4" s="69"/>
      <c r="H4" s="69"/>
    </row>
    <row r="5" spans="1:8" ht="12.5" customHeight="1" x14ac:dyDescent="0.35">
      <c r="A5" s="70" t="s">
        <v>161</v>
      </c>
      <c r="B5" s="69"/>
      <c r="C5" s="69"/>
      <c r="D5" s="69"/>
      <c r="E5" s="69"/>
      <c r="F5" s="69"/>
      <c r="G5" s="69"/>
      <c r="H5" s="69"/>
    </row>
    <row r="6" spans="1:8" ht="12.5" customHeight="1" x14ac:dyDescent="0.35">
      <c r="A6" s="70" t="s">
        <v>162</v>
      </c>
      <c r="B6" s="69"/>
      <c r="C6" s="69"/>
      <c r="D6" s="69"/>
      <c r="E6" s="69"/>
      <c r="F6" s="69"/>
      <c r="G6" s="69"/>
      <c r="H6" s="69"/>
    </row>
    <row r="9" spans="1:8" ht="44" customHeight="1" x14ac:dyDescent="0.35">
      <c r="A9" s="12" t="s">
        <v>163</v>
      </c>
      <c r="B9" s="27" t="s">
        <v>164</v>
      </c>
      <c r="C9" s="27" t="s">
        <v>165</v>
      </c>
      <c r="D9" s="27" t="s">
        <v>166</v>
      </c>
      <c r="E9" s="27" t="s">
        <v>167</v>
      </c>
      <c r="F9" s="27" t="s">
        <v>168</v>
      </c>
      <c r="G9" s="27" t="s">
        <v>169</v>
      </c>
      <c r="H9" s="12" t="s">
        <v>91</v>
      </c>
    </row>
    <row r="10" spans="1:8" ht="14" customHeight="1" x14ac:dyDescent="0.35">
      <c r="A10" s="22" t="s">
        <v>170</v>
      </c>
      <c r="B10" s="28">
        <v>0.44</v>
      </c>
      <c r="C10" s="28">
        <v>0.14000000000000001</v>
      </c>
      <c r="D10" s="28">
        <v>0.02</v>
      </c>
      <c r="E10" s="29">
        <f t="shared" ref="E10:E17" si="0">B10*D10</f>
        <v>8.8000000000000005E-3</v>
      </c>
      <c r="F10" s="29">
        <f t="shared" ref="F10:F17" si="1">C10*D10</f>
        <v>2.8000000000000004E-3</v>
      </c>
      <c r="G10" s="30">
        <f t="shared" ref="G10:G17" si="2">F10-E10</f>
        <v>-6.0000000000000001E-3</v>
      </c>
      <c r="H10" s="11" t="s">
        <v>171</v>
      </c>
    </row>
    <row r="11" spans="1:8" ht="14" customHeight="1" x14ac:dyDescent="0.35">
      <c r="A11" s="22" t="s">
        <v>172</v>
      </c>
      <c r="B11" s="28">
        <v>0.22</v>
      </c>
      <c r="C11" s="28">
        <v>0.23</v>
      </c>
      <c r="D11" s="28">
        <v>0.09</v>
      </c>
      <c r="E11" s="29">
        <f t="shared" si="0"/>
        <v>1.9799999999999998E-2</v>
      </c>
      <c r="F11" s="29">
        <f t="shared" si="1"/>
        <v>2.07E-2</v>
      </c>
      <c r="G11" s="30">
        <f t="shared" si="2"/>
        <v>9.0000000000000149E-4</v>
      </c>
      <c r="H11" s="11" t="s">
        <v>173</v>
      </c>
    </row>
    <row r="12" spans="1:8" ht="14" customHeight="1" x14ac:dyDescent="0.35">
      <c r="A12" s="22" t="s">
        <v>174</v>
      </c>
      <c r="B12" s="28">
        <v>0.06</v>
      </c>
      <c r="C12" s="28">
        <v>0.04</v>
      </c>
      <c r="D12" s="28">
        <v>0.04</v>
      </c>
      <c r="E12" s="29">
        <f t="shared" si="0"/>
        <v>2.3999999999999998E-3</v>
      </c>
      <c r="F12" s="29">
        <f t="shared" si="1"/>
        <v>1.6000000000000001E-3</v>
      </c>
      <c r="G12" s="30">
        <f t="shared" si="2"/>
        <v>-7.9999999999999971E-4</v>
      </c>
    </row>
    <row r="13" spans="1:8" ht="14" customHeight="1" x14ac:dyDescent="0.35">
      <c r="A13" s="20" t="s">
        <v>175</v>
      </c>
      <c r="B13" s="31">
        <v>0.05</v>
      </c>
      <c r="C13" s="31">
        <v>0.22</v>
      </c>
      <c r="D13" s="31">
        <v>0.14000000000000001</v>
      </c>
      <c r="E13" s="32">
        <f t="shared" si="0"/>
        <v>7.000000000000001E-3</v>
      </c>
      <c r="F13" s="32">
        <f t="shared" si="1"/>
        <v>3.0800000000000004E-2</v>
      </c>
      <c r="G13" s="33">
        <f t="shared" si="2"/>
        <v>2.3800000000000002E-2</v>
      </c>
      <c r="H13" s="11" t="s">
        <v>176</v>
      </c>
    </row>
    <row r="14" spans="1:8" ht="14" customHeight="1" x14ac:dyDescent="0.35">
      <c r="A14" s="20" t="s">
        <v>177</v>
      </c>
      <c r="B14" s="31">
        <v>0.04</v>
      </c>
      <c r="C14" s="31">
        <v>0.15</v>
      </c>
      <c r="D14" s="31">
        <v>0.14000000000000001</v>
      </c>
      <c r="E14" s="32">
        <f t="shared" si="0"/>
        <v>5.6000000000000008E-3</v>
      </c>
      <c r="F14" s="32">
        <f t="shared" si="1"/>
        <v>2.1000000000000001E-2</v>
      </c>
      <c r="G14" s="33">
        <f t="shared" si="2"/>
        <v>1.54E-2</v>
      </c>
    </row>
    <row r="15" spans="1:8" ht="14" customHeight="1" x14ac:dyDescent="0.35">
      <c r="A15" s="20" t="s">
        <v>178</v>
      </c>
      <c r="B15" s="31">
        <v>0.04</v>
      </c>
      <c r="C15" s="31">
        <v>0.17</v>
      </c>
      <c r="D15" s="31">
        <v>0.19</v>
      </c>
      <c r="E15" s="32">
        <f t="shared" si="0"/>
        <v>7.6E-3</v>
      </c>
      <c r="F15" s="32">
        <f t="shared" si="1"/>
        <v>3.2300000000000002E-2</v>
      </c>
      <c r="G15" s="33">
        <f t="shared" si="2"/>
        <v>2.4700000000000003E-2</v>
      </c>
      <c r="H15" s="11" t="s">
        <v>179</v>
      </c>
    </row>
    <row r="16" spans="1:8" ht="14" customHeight="1" x14ac:dyDescent="0.35">
      <c r="A16" s="20" t="s">
        <v>180</v>
      </c>
      <c r="B16" s="31">
        <v>0.02</v>
      </c>
      <c r="C16" s="31">
        <v>0.02</v>
      </c>
      <c r="D16" s="31">
        <v>0.18</v>
      </c>
      <c r="E16" s="32">
        <f t="shared" si="0"/>
        <v>3.5999999999999999E-3</v>
      </c>
      <c r="F16" s="32">
        <f t="shared" si="1"/>
        <v>3.5999999999999999E-3</v>
      </c>
      <c r="G16" s="33">
        <f t="shared" si="2"/>
        <v>0</v>
      </c>
    </row>
    <row r="17" spans="1:8" ht="14" customHeight="1" x14ac:dyDescent="0.35">
      <c r="A17" s="22" t="s">
        <v>181</v>
      </c>
      <c r="B17" s="28">
        <v>0.13</v>
      </c>
      <c r="C17" s="28">
        <v>0.03</v>
      </c>
      <c r="D17" s="28">
        <v>1.4999999999999999E-2</v>
      </c>
      <c r="E17" s="29">
        <f t="shared" si="0"/>
        <v>1.9499999999999999E-3</v>
      </c>
      <c r="F17" s="29">
        <f t="shared" si="1"/>
        <v>4.4999999999999999E-4</v>
      </c>
      <c r="G17" s="30">
        <f t="shared" si="2"/>
        <v>-1.5E-3</v>
      </c>
      <c r="H17" s="11" t="s">
        <v>182</v>
      </c>
    </row>
    <row r="18" spans="1:8" x14ac:dyDescent="0.35">
      <c r="A18" s="34" t="s">
        <v>183</v>
      </c>
      <c r="B18" s="35">
        <f>SUM(B10:B17)</f>
        <v>1</v>
      </c>
      <c r="C18" s="35">
        <f>SUM(C10:C17)</f>
        <v>1</v>
      </c>
      <c r="D18" s="36"/>
      <c r="E18" s="37">
        <f>SUM(E10:E17)</f>
        <v>5.6750000000000002E-2</v>
      </c>
      <c r="F18" s="37">
        <f>SUM(F10:F17)</f>
        <v>0.11325000000000003</v>
      </c>
      <c r="G18" s="37">
        <f>SUM(G10:G17)</f>
        <v>5.6500000000000009E-2</v>
      </c>
      <c r="H18" s="36"/>
    </row>
    <row r="19" spans="1:8" x14ac:dyDescent="0.35">
      <c r="A19" s="20" t="s">
        <v>184</v>
      </c>
      <c r="B19" s="38" t="str">
        <f>IF(ABS(B18-1)&lt;0.0001,"PASS","FAIL")</f>
        <v>PASS</v>
      </c>
      <c r="C19" s="38" t="str">
        <f>IF(ABS(C18-1)&lt;0.0001,"PASS","FAIL")</f>
        <v>PASS</v>
      </c>
    </row>
    <row r="21" spans="1:8" ht="18" customHeight="1" x14ac:dyDescent="0.35">
      <c r="A21" s="7" t="s">
        <v>185</v>
      </c>
      <c r="B21" s="7"/>
      <c r="C21" s="7"/>
      <c r="D21" s="7"/>
      <c r="E21" s="7"/>
      <c r="F21" s="7"/>
      <c r="G21" s="7"/>
      <c r="H21" s="7"/>
    </row>
    <row r="22" spans="1:8" x14ac:dyDescent="0.35">
      <c r="A22" s="22" t="s">
        <v>186</v>
      </c>
      <c r="D22" s="29">
        <f>E18</f>
        <v>5.6750000000000002E-2</v>
      </c>
      <c r="E22" s="72" t="s">
        <v>187</v>
      </c>
      <c r="F22" s="69"/>
      <c r="G22" s="69"/>
      <c r="H22" s="69"/>
    </row>
    <row r="23" spans="1:8" x14ac:dyDescent="0.35">
      <c r="A23" s="22" t="s">
        <v>188</v>
      </c>
      <c r="D23" s="29">
        <f>-adj_sub</f>
        <v>-1.0648000000000001E-2</v>
      </c>
      <c r="E23" s="72" t="s">
        <v>189</v>
      </c>
      <c r="F23" s="69"/>
      <c r="G23" s="69"/>
      <c r="H23" s="69"/>
    </row>
    <row r="24" spans="1:8" x14ac:dyDescent="0.35">
      <c r="A24" s="22" t="s">
        <v>190</v>
      </c>
      <c r="D24" s="29">
        <f>-adj_hed</f>
        <v>-5.416666666666666E-3</v>
      </c>
      <c r="E24" s="72" t="s">
        <v>191</v>
      </c>
      <c r="F24" s="69"/>
      <c r="G24" s="69"/>
      <c r="H24" s="69"/>
    </row>
    <row r="25" spans="1:8" ht="15.5" x14ac:dyDescent="0.35">
      <c r="A25" s="39" t="s">
        <v>192</v>
      </c>
      <c r="B25" s="40"/>
      <c r="C25" s="40"/>
      <c r="D25" s="41">
        <f>SUM(D22:D24)</f>
        <v>4.0685333333333337E-2</v>
      </c>
    </row>
    <row r="27" spans="1:8" x14ac:dyDescent="0.35">
      <c r="A27" s="22" t="s">
        <v>193</v>
      </c>
      <c r="D27" s="29">
        <f>F18</f>
        <v>0.11325000000000003</v>
      </c>
      <c r="E27" s="72" t="s">
        <v>194</v>
      </c>
      <c r="F27" s="69"/>
      <c r="G27" s="69"/>
      <c r="H27" s="69"/>
    </row>
    <row r="28" spans="1:8" ht="15.5" x14ac:dyDescent="0.35">
      <c r="A28" s="39" t="s">
        <v>195</v>
      </c>
      <c r="B28" s="40"/>
      <c r="C28" s="40"/>
      <c r="D28" s="42">
        <f>D27</f>
        <v>0.11325000000000003</v>
      </c>
    </row>
    <row r="30" spans="1:8" ht="15.5" x14ac:dyDescent="0.35">
      <c r="A30" s="39" t="s">
        <v>129</v>
      </c>
      <c r="B30" s="40"/>
      <c r="C30" s="40"/>
      <c r="D30" s="42">
        <f>D28-D25</f>
        <v>7.2564666666666694E-2</v>
      </c>
    </row>
    <row r="32" spans="1:8" ht="18" customHeight="1" x14ac:dyDescent="0.35">
      <c r="A32" s="7" t="s">
        <v>196</v>
      </c>
      <c r="B32" s="7"/>
      <c r="C32" s="7"/>
      <c r="D32" s="7"/>
      <c r="E32" s="7"/>
      <c r="F32" s="7"/>
      <c r="G32" s="7"/>
      <c r="H32" s="7"/>
    </row>
    <row r="33" spans="1:8" x14ac:dyDescent="0.35">
      <c r="A33" s="22" t="s">
        <v>197</v>
      </c>
      <c r="B33" s="43" t="str">
        <f>INDEX($A$10:$A$17,MATCH(LARGE($G$10:$G$17,1),$G$10:$G$17,0))</f>
        <v>Fuel and petrol</v>
      </c>
      <c r="D33" s="30">
        <f>LARGE($G$10:$G$17,1)</f>
        <v>2.4700000000000003E-2</v>
      </c>
    </row>
    <row r="34" spans="1:8" x14ac:dyDescent="0.35">
      <c r="A34" s="22" t="s">
        <v>198</v>
      </c>
      <c r="B34" s="43" t="str">
        <f>INDEX($A$10:$A$17,MATCH(LARGE($G$10:$G$17,2),$G$10:$G$17,0))</f>
        <v>Education and tuition</v>
      </c>
      <c r="D34" s="30">
        <f>LARGE($G$10:$G$17,2)</f>
        <v>2.3800000000000002E-2</v>
      </c>
    </row>
    <row r="35" spans="1:8" x14ac:dyDescent="0.35">
      <c r="A35" s="22" t="s">
        <v>199</v>
      </c>
      <c r="B35" s="43" t="str">
        <f>INDEX($A$10:$A$17,MATCH(LARGE($G$10:$G$17,3),$G$10:$G$17,0))</f>
        <v>Healthcare</v>
      </c>
      <c r="D35" s="30">
        <f>LARGE($G$10:$G$17,3)</f>
        <v>1.54E-2</v>
      </c>
    </row>
    <row r="36" spans="1:8" x14ac:dyDescent="0.35">
      <c r="A36" s="8" t="s">
        <v>200</v>
      </c>
      <c r="D36" s="30">
        <f>G18</f>
        <v>5.6500000000000009E-2</v>
      </c>
    </row>
    <row r="37" spans="1:8" x14ac:dyDescent="0.35">
      <c r="A37" s="8" t="s">
        <v>201</v>
      </c>
      <c r="D37" s="30">
        <f>adj_sub+adj_hed</f>
        <v>1.6064666666666668E-2</v>
      </c>
    </row>
    <row r="38" spans="1:8" x14ac:dyDescent="0.35">
      <c r="A38" s="8" t="s">
        <v>202</v>
      </c>
      <c r="D38" s="30">
        <f>D36+D37</f>
        <v>7.256466666666668E-2</v>
      </c>
    </row>
    <row r="39" spans="1:8" x14ac:dyDescent="0.35">
      <c r="A39" s="20" t="s">
        <v>203</v>
      </c>
      <c r="B39" s="40"/>
      <c r="C39" s="40"/>
      <c r="D39" s="38" t="str">
        <f>IF(ABS(D38-D30)&lt;0.00001,"PASS","FAIL")</f>
        <v>PASS</v>
      </c>
    </row>
    <row r="41" spans="1:8" ht="30" customHeight="1" x14ac:dyDescent="0.35">
      <c r="A41" s="72" t="s">
        <v>204</v>
      </c>
      <c r="B41" s="69"/>
      <c r="C41" s="69"/>
      <c r="D41" s="69"/>
      <c r="E41" s="69"/>
      <c r="F41" s="69"/>
      <c r="G41" s="69"/>
      <c r="H41" s="69"/>
    </row>
  </sheetData>
  <mergeCells count="8">
    <mergeCell ref="A4:H4"/>
    <mergeCell ref="E23:H23"/>
    <mergeCell ref="E27:H27"/>
    <mergeCell ref="A41:H41"/>
    <mergeCell ref="A5:H5"/>
    <mergeCell ref="E24:H24"/>
    <mergeCell ref="A6:H6"/>
    <mergeCell ref="E22:H22"/>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07D2B"/>
  </sheetPr>
  <dimension ref="A1:D37"/>
  <sheetViews>
    <sheetView showGridLines="0" workbookViewId="0"/>
  </sheetViews>
  <sheetFormatPr defaultRowHeight="14.5" x14ac:dyDescent="0.35"/>
  <cols>
    <col min="1" max="1" width="52" style="3" customWidth="1"/>
    <col min="2" max="2" width="16" style="3" customWidth="1"/>
    <col min="3" max="3" width="4" style="3" customWidth="1"/>
    <col min="4" max="4" width="78" style="3" customWidth="1"/>
    <col min="5" max="16384" width="8.7265625" style="3"/>
  </cols>
  <sheetData>
    <row r="1" spans="1:4" ht="24" customHeight="1" x14ac:dyDescent="0.35">
      <c r="A1" s="2" t="s">
        <v>205</v>
      </c>
    </row>
    <row r="2" spans="1:4" x14ac:dyDescent="0.35">
      <c r="A2" s="4" t="s">
        <v>206</v>
      </c>
    </row>
    <row r="3" spans="1:4" x14ac:dyDescent="0.35">
      <c r="A3" s="5"/>
      <c r="B3" s="5"/>
      <c r="C3" s="5"/>
      <c r="D3" s="5"/>
    </row>
    <row r="4" spans="1:4" ht="12.5" customHeight="1" x14ac:dyDescent="0.35">
      <c r="A4" s="70" t="s">
        <v>207</v>
      </c>
      <c r="B4" s="69"/>
      <c r="C4" s="69"/>
      <c r="D4" s="69"/>
    </row>
    <row r="5" spans="1:4" ht="12.5" customHeight="1" x14ac:dyDescent="0.35">
      <c r="A5" s="70" t="s">
        <v>208</v>
      </c>
      <c r="B5" s="69"/>
      <c r="C5" s="69"/>
      <c r="D5" s="69"/>
    </row>
    <row r="7" spans="1:4" ht="18" customHeight="1" x14ac:dyDescent="0.35">
      <c r="A7" s="7" t="s">
        <v>209</v>
      </c>
      <c r="B7" s="7"/>
      <c r="C7" s="7"/>
      <c r="D7" s="7"/>
    </row>
    <row r="8" spans="1:4" ht="14" customHeight="1" x14ac:dyDescent="0.35">
      <c r="A8" s="73" t="s">
        <v>210</v>
      </c>
      <c r="B8" s="69"/>
      <c r="C8" s="69"/>
      <c r="D8" s="69"/>
    </row>
    <row r="9" spans="1:4" x14ac:dyDescent="0.35">
      <c r="A9" s="69"/>
      <c r="B9" s="69"/>
      <c r="C9" s="69"/>
      <c r="D9" s="69"/>
    </row>
    <row r="10" spans="1:4" x14ac:dyDescent="0.35">
      <c r="A10" s="22" t="s">
        <v>211</v>
      </c>
      <c r="B10" s="44" t="s">
        <v>170</v>
      </c>
    </row>
    <row r="11" spans="1:4" x14ac:dyDescent="0.35">
      <c r="A11" s="22" t="s">
        <v>212</v>
      </c>
      <c r="B11" s="45">
        <f>INDEX(w_idx,MATCH("Food and staples",cat_name,0))</f>
        <v>0.44</v>
      </c>
      <c r="D11" s="11" t="s">
        <v>213</v>
      </c>
    </row>
    <row r="12" spans="1:4" x14ac:dyDescent="0.35">
      <c r="A12" s="22" t="s">
        <v>214</v>
      </c>
      <c r="B12" s="28">
        <v>0.28000000000000003</v>
      </c>
    </row>
    <row r="13" spans="1:4" x14ac:dyDescent="0.35">
      <c r="A13" s="22" t="s">
        <v>215</v>
      </c>
      <c r="B13" s="28">
        <v>0.06</v>
      </c>
    </row>
    <row r="14" spans="1:4" x14ac:dyDescent="0.35">
      <c r="A14" s="22" t="s">
        <v>216</v>
      </c>
      <c r="B14" s="28">
        <v>0.11</v>
      </c>
      <c r="D14" s="11" t="s">
        <v>217</v>
      </c>
    </row>
    <row r="15" spans="1:4" x14ac:dyDescent="0.35">
      <c r="A15" s="8" t="s">
        <v>218</v>
      </c>
      <c r="B15" s="46">
        <f>B12-B13</f>
        <v>0.22000000000000003</v>
      </c>
      <c r="D15" s="11" t="s">
        <v>219</v>
      </c>
    </row>
    <row r="16" spans="1:4" x14ac:dyDescent="0.35">
      <c r="A16" s="20" t="s">
        <v>220</v>
      </c>
      <c r="B16" s="33">
        <f>B15*B14*B11</f>
        <v>1.0648000000000001E-2</v>
      </c>
    </row>
    <row r="18" spans="1:4" ht="18" customHeight="1" x14ac:dyDescent="0.35">
      <c r="A18" s="7" t="s">
        <v>221</v>
      </c>
      <c r="B18" s="7"/>
      <c r="C18" s="7"/>
      <c r="D18" s="7"/>
    </row>
    <row r="19" spans="1:4" ht="14" customHeight="1" x14ac:dyDescent="0.35">
      <c r="A19" s="73" t="s">
        <v>222</v>
      </c>
      <c r="B19" s="69"/>
      <c r="C19" s="69"/>
      <c r="D19" s="69"/>
    </row>
    <row r="20" spans="1:4" x14ac:dyDescent="0.35">
      <c r="A20" s="69"/>
      <c r="B20" s="69"/>
      <c r="C20" s="69"/>
      <c r="D20" s="69"/>
    </row>
    <row r="21" spans="1:4" x14ac:dyDescent="0.35">
      <c r="A21" s="22" t="s">
        <v>223</v>
      </c>
      <c r="B21" s="44" t="s">
        <v>181</v>
      </c>
    </row>
    <row r="22" spans="1:4" x14ac:dyDescent="0.35">
      <c r="A22" s="22" t="s">
        <v>212</v>
      </c>
      <c r="B22" s="45">
        <f>INDEX(w_idx,MATCH("Everything else",cat_name,0))</f>
        <v>0.13</v>
      </c>
    </row>
    <row r="23" spans="1:4" x14ac:dyDescent="0.35">
      <c r="A23" s="22" t="s">
        <v>224</v>
      </c>
      <c r="B23" s="28">
        <v>0.25</v>
      </c>
      <c r="D23" s="11" t="s">
        <v>225</v>
      </c>
    </row>
    <row r="24" spans="1:4" x14ac:dyDescent="0.35">
      <c r="A24" s="22" t="s">
        <v>226</v>
      </c>
      <c r="B24" s="28">
        <v>0</v>
      </c>
      <c r="D24" s="11" t="s">
        <v>227</v>
      </c>
    </row>
    <row r="25" spans="1:4" x14ac:dyDescent="0.35">
      <c r="A25" s="22" t="s">
        <v>228</v>
      </c>
      <c r="B25" s="28">
        <v>0.2</v>
      </c>
      <c r="D25" s="11" t="s">
        <v>229</v>
      </c>
    </row>
    <row r="26" spans="1:4" x14ac:dyDescent="0.35">
      <c r="A26" s="8" t="s">
        <v>230</v>
      </c>
      <c r="B26" s="45">
        <f>(1+B24)/(1+B25)-1</f>
        <v>-0.16666666666666663</v>
      </c>
      <c r="D26" s="11" t="s">
        <v>231</v>
      </c>
    </row>
    <row r="27" spans="1:4" x14ac:dyDescent="0.35">
      <c r="A27" s="8" t="s">
        <v>232</v>
      </c>
      <c r="B27" s="46">
        <f>B24-B26</f>
        <v>0.16666666666666663</v>
      </c>
    </row>
    <row r="28" spans="1:4" x14ac:dyDescent="0.35">
      <c r="A28" s="20" t="s">
        <v>220</v>
      </c>
      <c r="B28" s="33">
        <f>B27*B23*B22</f>
        <v>5.416666666666666E-3</v>
      </c>
    </row>
    <row r="30" spans="1:4" ht="18" customHeight="1" x14ac:dyDescent="0.35">
      <c r="A30" s="7" t="s">
        <v>233</v>
      </c>
      <c r="B30" s="7"/>
      <c r="C30" s="7"/>
      <c r="D30" s="7"/>
    </row>
    <row r="31" spans="1:4" x14ac:dyDescent="0.35">
      <c r="A31" s="20" t="s">
        <v>234</v>
      </c>
      <c r="B31" s="33">
        <f>B16+B28</f>
        <v>1.6064666666666668E-2</v>
      </c>
      <c r="D31" s="11" t="s">
        <v>235</v>
      </c>
    </row>
    <row r="32" spans="1:4" x14ac:dyDescent="0.35">
      <c r="A32" s="22" t="s">
        <v>236</v>
      </c>
      <c r="B32" s="47">
        <f>cpi_raw</f>
        <v>5.6750000000000002E-2</v>
      </c>
    </row>
    <row r="33" spans="1:4" x14ac:dyDescent="0.35">
      <c r="A33" s="22" t="s">
        <v>237</v>
      </c>
      <c r="B33" s="47">
        <f>cpi_meas</f>
        <v>4.0685333333333337E-2</v>
      </c>
    </row>
    <row r="35" spans="1:4" ht="15" customHeight="1" x14ac:dyDescent="0.35">
      <c r="A35" s="68" t="s">
        <v>238</v>
      </c>
      <c r="B35" s="69"/>
      <c r="C35" s="69"/>
      <c r="D35" s="69"/>
    </row>
    <row r="36" spans="1:4" x14ac:dyDescent="0.35">
      <c r="A36" s="69"/>
      <c r="B36" s="69"/>
      <c r="C36" s="69"/>
      <c r="D36" s="69"/>
    </row>
    <row r="37" spans="1:4" x14ac:dyDescent="0.35">
      <c r="A37" s="69"/>
      <c r="B37" s="69"/>
      <c r="C37" s="69"/>
      <c r="D37" s="69"/>
    </row>
  </sheetData>
  <mergeCells count="5">
    <mergeCell ref="A5:D5"/>
    <mergeCell ref="A35:D37"/>
    <mergeCell ref="A8:D9"/>
    <mergeCell ref="A4:D4"/>
    <mergeCell ref="A19:D2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E5C76"/>
  </sheetPr>
  <dimension ref="A1:G27"/>
  <sheetViews>
    <sheetView showGridLines="0" workbookViewId="0">
      <pane ySplit="8" topLeftCell="A9" activePane="bottomLeft" state="frozen"/>
      <selection pane="bottomLeft"/>
    </sheetView>
  </sheetViews>
  <sheetFormatPr defaultRowHeight="14.5" x14ac:dyDescent="0.35"/>
  <cols>
    <col min="1" max="1" width="30" style="3" customWidth="1"/>
    <col min="2" max="2" width="20" style="3" customWidth="1"/>
    <col min="3" max="4" width="15" style="3" customWidth="1"/>
    <col min="5" max="5" width="19" style="3" customWidth="1"/>
    <col min="6" max="6" width="17" style="3" customWidth="1"/>
    <col min="7" max="7" width="58" style="3" customWidth="1"/>
    <col min="8" max="16384" width="8.7265625" style="3"/>
  </cols>
  <sheetData>
    <row r="1" spans="1:7" ht="24" customHeight="1" x14ac:dyDescent="0.35">
      <c r="A1" s="2" t="s">
        <v>239</v>
      </c>
    </row>
    <row r="2" spans="1:7" x14ac:dyDescent="0.35">
      <c r="A2" s="4" t="s">
        <v>240</v>
      </c>
    </row>
    <row r="3" spans="1:7" x14ac:dyDescent="0.35">
      <c r="A3" s="5"/>
      <c r="B3" s="5"/>
      <c r="C3" s="5"/>
      <c r="D3" s="5"/>
      <c r="E3" s="5"/>
      <c r="F3" s="5"/>
      <c r="G3" s="5"/>
    </row>
    <row r="4" spans="1:7" ht="12.5" customHeight="1" x14ac:dyDescent="0.35">
      <c r="A4" s="70" t="s">
        <v>241</v>
      </c>
      <c r="B4" s="69"/>
      <c r="C4" s="69"/>
      <c r="D4" s="69"/>
      <c r="E4" s="69"/>
      <c r="F4" s="69"/>
      <c r="G4" s="69"/>
    </row>
    <row r="5" spans="1:7" ht="12.5" customHeight="1" x14ac:dyDescent="0.35">
      <c r="A5" s="70" t="s">
        <v>242</v>
      </c>
      <c r="B5" s="69"/>
      <c r="C5" s="69"/>
      <c r="D5" s="69"/>
      <c r="E5" s="69"/>
      <c r="F5" s="69"/>
      <c r="G5" s="69"/>
    </row>
    <row r="6" spans="1:7" ht="12.5" customHeight="1" x14ac:dyDescent="0.35">
      <c r="A6" s="70" t="s">
        <v>243</v>
      </c>
      <c r="B6" s="69"/>
      <c r="C6" s="69"/>
      <c r="D6" s="69"/>
      <c r="E6" s="69"/>
      <c r="F6" s="69"/>
      <c r="G6" s="69"/>
    </row>
    <row r="8" spans="1:7" ht="30" customHeight="1" x14ac:dyDescent="0.35">
      <c r="A8" s="12" t="s">
        <v>163</v>
      </c>
      <c r="B8" s="27" t="s">
        <v>244</v>
      </c>
      <c r="C8" s="27" t="s">
        <v>245</v>
      </c>
      <c r="D8" s="27" t="s">
        <v>164</v>
      </c>
      <c r="E8" s="27" t="s">
        <v>246</v>
      </c>
      <c r="F8" s="27" t="s">
        <v>166</v>
      </c>
      <c r="G8" s="27" t="s">
        <v>247</v>
      </c>
    </row>
    <row r="9" spans="1:7" x14ac:dyDescent="0.35">
      <c r="A9" s="22" t="s">
        <v>170</v>
      </c>
      <c r="B9" s="48">
        <v>14000</v>
      </c>
      <c r="C9" s="45">
        <f t="shared" ref="C9:C16" si="0">IFERROR(B9/$B$17,0)</f>
        <v>0.14000000000000001</v>
      </c>
      <c r="D9" s="23">
        <f>INDEX(w_idx,1)</f>
        <v>0.44</v>
      </c>
      <c r="E9" s="46">
        <f t="shared" ref="E9:E16" si="1">C9-D9</f>
        <v>-0.3</v>
      </c>
      <c r="F9" s="23">
        <f>INDEX(px_chg,1)</f>
        <v>0.02</v>
      </c>
      <c r="G9" s="29">
        <f t="shared" ref="G9:G16" si="2">C9*F9</f>
        <v>2.8000000000000004E-3</v>
      </c>
    </row>
    <row r="10" spans="1:7" x14ac:dyDescent="0.35">
      <c r="A10" s="22" t="s">
        <v>172</v>
      </c>
      <c r="B10" s="48">
        <v>23000</v>
      </c>
      <c r="C10" s="45">
        <f t="shared" si="0"/>
        <v>0.23</v>
      </c>
      <c r="D10" s="23">
        <f>INDEX(w_idx,2)</f>
        <v>0.22</v>
      </c>
      <c r="E10" s="46">
        <f t="shared" si="1"/>
        <v>1.0000000000000009E-2</v>
      </c>
      <c r="F10" s="23">
        <f>INDEX(px_chg,2)</f>
        <v>0.09</v>
      </c>
      <c r="G10" s="29">
        <f t="shared" si="2"/>
        <v>2.07E-2</v>
      </c>
    </row>
    <row r="11" spans="1:7" x14ac:dyDescent="0.35">
      <c r="A11" s="22" t="s">
        <v>174</v>
      </c>
      <c r="B11" s="48">
        <v>4000</v>
      </c>
      <c r="C11" s="45">
        <f t="shared" si="0"/>
        <v>0.04</v>
      </c>
      <c r="D11" s="23">
        <f>INDEX(w_idx,3)</f>
        <v>0.06</v>
      </c>
      <c r="E11" s="46">
        <f t="shared" si="1"/>
        <v>-1.9999999999999997E-2</v>
      </c>
      <c r="F11" s="23">
        <f>INDEX(px_chg,3)</f>
        <v>0.04</v>
      </c>
      <c r="G11" s="29">
        <f t="shared" si="2"/>
        <v>1.6000000000000001E-3</v>
      </c>
    </row>
    <row r="12" spans="1:7" x14ac:dyDescent="0.35">
      <c r="A12" s="20" t="s">
        <v>175</v>
      </c>
      <c r="B12" s="49">
        <v>22000</v>
      </c>
      <c r="C12" s="50">
        <f t="shared" si="0"/>
        <v>0.22</v>
      </c>
      <c r="D12" s="51">
        <f>INDEX(w_idx,4)</f>
        <v>0.05</v>
      </c>
      <c r="E12" s="52">
        <f t="shared" si="1"/>
        <v>0.16999999999999998</v>
      </c>
      <c r="F12" s="51">
        <f>INDEX(px_chg,4)</f>
        <v>0.14000000000000001</v>
      </c>
      <c r="G12" s="32">
        <f t="shared" si="2"/>
        <v>3.0800000000000004E-2</v>
      </c>
    </row>
    <row r="13" spans="1:7" x14ac:dyDescent="0.35">
      <c r="A13" s="20" t="s">
        <v>177</v>
      </c>
      <c r="B13" s="49">
        <v>15000</v>
      </c>
      <c r="C13" s="50">
        <f t="shared" si="0"/>
        <v>0.15</v>
      </c>
      <c r="D13" s="51">
        <f>INDEX(w_idx,5)</f>
        <v>0.04</v>
      </c>
      <c r="E13" s="52">
        <f t="shared" si="1"/>
        <v>0.10999999999999999</v>
      </c>
      <c r="F13" s="51">
        <f>INDEX(px_chg,5)</f>
        <v>0.14000000000000001</v>
      </c>
      <c r="G13" s="32">
        <f t="shared" si="2"/>
        <v>2.1000000000000001E-2</v>
      </c>
    </row>
    <row r="14" spans="1:7" x14ac:dyDescent="0.35">
      <c r="A14" s="20" t="s">
        <v>178</v>
      </c>
      <c r="B14" s="49">
        <v>17000</v>
      </c>
      <c r="C14" s="50">
        <f t="shared" si="0"/>
        <v>0.17</v>
      </c>
      <c r="D14" s="51">
        <f>INDEX(w_idx,6)</f>
        <v>0.04</v>
      </c>
      <c r="E14" s="52">
        <f t="shared" si="1"/>
        <v>0.13</v>
      </c>
      <c r="F14" s="51">
        <f>INDEX(px_chg,6)</f>
        <v>0.19</v>
      </c>
      <c r="G14" s="32">
        <f t="shared" si="2"/>
        <v>3.2300000000000002E-2</v>
      </c>
    </row>
    <row r="15" spans="1:7" x14ac:dyDescent="0.35">
      <c r="A15" s="20" t="s">
        <v>180</v>
      </c>
      <c r="B15" s="49">
        <v>2000</v>
      </c>
      <c r="C15" s="50">
        <f t="shared" si="0"/>
        <v>0.02</v>
      </c>
      <c r="D15" s="51">
        <f>INDEX(w_idx,7)</f>
        <v>0.02</v>
      </c>
      <c r="E15" s="52">
        <f t="shared" si="1"/>
        <v>0</v>
      </c>
      <c r="F15" s="51">
        <f>INDEX(px_chg,7)</f>
        <v>0.18</v>
      </c>
      <c r="G15" s="32">
        <f t="shared" si="2"/>
        <v>3.5999999999999999E-3</v>
      </c>
    </row>
    <row r="16" spans="1:7" x14ac:dyDescent="0.35">
      <c r="A16" s="22" t="s">
        <v>181</v>
      </c>
      <c r="B16" s="48">
        <v>3000</v>
      </c>
      <c r="C16" s="45">
        <f t="shared" si="0"/>
        <v>0.03</v>
      </c>
      <c r="D16" s="23">
        <f>INDEX(w_idx,8)</f>
        <v>0.13</v>
      </c>
      <c r="E16" s="46">
        <f t="shared" si="1"/>
        <v>-0.1</v>
      </c>
      <c r="F16" s="23">
        <f>INDEX(px_chg,8)</f>
        <v>1.4999999999999999E-2</v>
      </c>
      <c r="G16" s="29">
        <f t="shared" si="2"/>
        <v>4.4999999999999999E-4</v>
      </c>
    </row>
    <row r="17" spans="1:7" x14ac:dyDescent="0.35">
      <c r="A17" s="34" t="s">
        <v>183</v>
      </c>
      <c r="B17" s="53">
        <f>SUM(B9:B16)</f>
        <v>100000</v>
      </c>
      <c r="C17" s="35">
        <f>SUM(C9:C16)</f>
        <v>1</v>
      </c>
      <c r="D17" s="35">
        <f>SUM(D9:D16)</f>
        <v>1</v>
      </c>
      <c r="E17" s="35">
        <f>SUM(E9:E16)</f>
        <v>0</v>
      </c>
      <c r="F17" s="36"/>
      <c r="G17" s="37">
        <f>SUM(G9:G16)</f>
        <v>0.11325000000000003</v>
      </c>
    </row>
    <row r="19" spans="1:7" ht="18" customHeight="1" x14ac:dyDescent="0.35">
      <c r="A19" s="7" t="s">
        <v>248</v>
      </c>
      <c r="B19" s="7"/>
      <c r="C19" s="7"/>
      <c r="D19" s="7"/>
      <c r="E19" s="7"/>
      <c r="F19" s="7"/>
      <c r="G19" s="7"/>
    </row>
    <row r="20" spans="1:7" x14ac:dyDescent="0.35">
      <c r="A20" s="20" t="s">
        <v>249</v>
      </c>
      <c r="B20" s="33">
        <f>G17</f>
        <v>0.11325000000000003</v>
      </c>
      <c r="C20" s="72" t="s">
        <v>250</v>
      </c>
      <c r="D20" s="69"/>
      <c r="E20" s="69"/>
      <c r="F20" s="69"/>
      <c r="G20" s="69"/>
    </row>
    <row r="21" spans="1:7" x14ac:dyDescent="0.35">
      <c r="A21" s="22" t="s">
        <v>251</v>
      </c>
      <c r="B21" s="47">
        <f>cpi_meas</f>
        <v>4.0685333333333337E-2</v>
      </c>
      <c r="C21" s="72" t="s">
        <v>252</v>
      </c>
      <c r="D21" s="69"/>
      <c r="E21" s="69"/>
      <c r="F21" s="69"/>
      <c r="G21" s="69"/>
    </row>
    <row r="22" spans="1:7" x14ac:dyDescent="0.35">
      <c r="A22" s="20" t="s">
        <v>253</v>
      </c>
      <c r="B22" s="33">
        <f>B20-B21</f>
        <v>7.2564666666666694E-2</v>
      </c>
      <c r="C22" s="72" t="s">
        <v>254</v>
      </c>
      <c r="D22" s="69"/>
      <c r="E22" s="69"/>
      <c r="F22" s="69"/>
      <c r="G22" s="69"/>
    </row>
    <row r="23" spans="1:7" x14ac:dyDescent="0.35">
      <c r="A23" s="22" t="s">
        <v>255</v>
      </c>
      <c r="B23" s="54">
        <f>B17*12</f>
        <v>1200000</v>
      </c>
    </row>
    <row r="24" spans="1:7" x14ac:dyDescent="0.35">
      <c r="A24" s="22" t="s">
        <v>256</v>
      </c>
      <c r="B24" s="54">
        <f>B23*(1+B20)</f>
        <v>1335900</v>
      </c>
    </row>
    <row r="25" spans="1:7" x14ac:dyDescent="0.35">
      <c r="A25" s="20" t="s">
        <v>257</v>
      </c>
      <c r="B25" s="55">
        <f>B24-B23</f>
        <v>135900</v>
      </c>
      <c r="C25" s="72" t="s">
        <v>258</v>
      </c>
      <c r="D25" s="69"/>
      <c r="E25" s="69"/>
      <c r="F25" s="69"/>
      <c r="G25" s="69"/>
    </row>
    <row r="26" spans="1:7" x14ac:dyDescent="0.35">
      <c r="A26" s="22" t="s">
        <v>259</v>
      </c>
      <c r="B26" s="54">
        <f>B23*B21</f>
        <v>48822.400000000001</v>
      </c>
    </row>
    <row r="27" spans="1:7" x14ac:dyDescent="0.35">
      <c r="A27" s="20" t="s">
        <v>260</v>
      </c>
      <c r="B27" s="55">
        <f>B25-B26</f>
        <v>87077.6</v>
      </c>
      <c r="C27" s="72" t="s">
        <v>117</v>
      </c>
      <c r="D27" s="69"/>
      <c r="E27" s="69"/>
      <c r="F27" s="69"/>
      <c r="G27" s="69"/>
    </row>
  </sheetData>
  <mergeCells count="8">
    <mergeCell ref="A4:G4"/>
    <mergeCell ref="C25:G25"/>
    <mergeCell ref="C27:G27"/>
    <mergeCell ref="C22:G22"/>
    <mergeCell ref="A5:G5"/>
    <mergeCell ref="C21:G21"/>
    <mergeCell ref="C20:G20"/>
    <mergeCell ref="A6:G6"/>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E5C76"/>
  </sheetPr>
  <dimension ref="A1:H36"/>
  <sheetViews>
    <sheetView showGridLines="0" workbookViewId="0">
      <pane xSplit="1" ySplit="8" topLeftCell="B9" activePane="bottomRight" state="frozen"/>
      <selection pane="topRight"/>
      <selection pane="bottomLeft"/>
      <selection pane="bottomRight"/>
    </sheetView>
  </sheetViews>
  <sheetFormatPr defaultRowHeight="14.5" x14ac:dyDescent="0.35"/>
  <cols>
    <col min="1" max="1" width="9" style="3" customWidth="1"/>
    <col min="2" max="3" width="17" style="3" customWidth="1"/>
    <col min="4" max="4" width="18" style="3" customWidth="1"/>
    <col min="5" max="5" width="20" style="3" customWidth="1"/>
    <col min="6" max="6" width="22" style="3" customWidth="1"/>
    <col min="7" max="7" width="24" style="3" customWidth="1"/>
    <col min="8" max="8" width="20" style="3" customWidth="1"/>
    <col min="9" max="16384" width="8.7265625" style="3"/>
  </cols>
  <sheetData>
    <row r="1" spans="1:8" ht="24" customHeight="1" x14ac:dyDescent="0.35">
      <c r="A1" s="2" t="s">
        <v>261</v>
      </c>
    </row>
    <row r="2" spans="1:8" x14ac:dyDescent="0.35">
      <c r="A2" s="4" t="s">
        <v>262</v>
      </c>
    </row>
    <row r="3" spans="1:8" x14ac:dyDescent="0.35">
      <c r="A3" s="5"/>
      <c r="B3" s="5"/>
      <c r="C3" s="5"/>
      <c r="D3" s="5"/>
      <c r="E3" s="5"/>
      <c r="F3" s="5"/>
      <c r="G3" s="5"/>
      <c r="H3" s="5"/>
    </row>
    <row r="4" spans="1:8" ht="12.5" customHeight="1" x14ac:dyDescent="0.35">
      <c r="A4" s="70" t="s">
        <v>263</v>
      </c>
      <c r="B4" s="69"/>
      <c r="C4" s="69"/>
      <c r="D4" s="69"/>
      <c r="E4" s="69"/>
      <c r="F4" s="69"/>
      <c r="G4" s="69"/>
      <c r="H4" s="69"/>
    </row>
    <row r="5" spans="1:8" ht="12.5" customHeight="1" x14ac:dyDescent="0.35">
      <c r="A5" s="70" t="s">
        <v>264</v>
      </c>
      <c r="B5" s="69"/>
      <c r="C5" s="69"/>
      <c r="D5" s="69"/>
      <c r="E5" s="69"/>
      <c r="F5" s="69"/>
      <c r="G5" s="69"/>
      <c r="H5" s="69"/>
    </row>
    <row r="6" spans="1:8" ht="12.5" customHeight="1" x14ac:dyDescent="0.35">
      <c r="A6" s="70" t="s">
        <v>265</v>
      </c>
      <c r="B6" s="69"/>
      <c r="C6" s="69"/>
      <c r="D6" s="69"/>
      <c r="E6" s="69"/>
      <c r="F6" s="69"/>
      <c r="G6" s="69"/>
      <c r="H6" s="69"/>
    </row>
    <row r="8" spans="1:8" ht="44" customHeight="1" x14ac:dyDescent="0.35">
      <c r="A8" s="12" t="s">
        <v>266</v>
      </c>
      <c r="B8" s="27" t="s">
        <v>125</v>
      </c>
      <c r="C8" s="27" t="s">
        <v>127</v>
      </c>
      <c r="D8" s="27" t="s">
        <v>267</v>
      </c>
      <c r="E8" s="27" t="s">
        <v>268</v>
      </c>
      <c r="F8" s="27" t="s">
        <v>269</v>
      </c>
      <c r="G8" s="27" t="s">
        <v>270</v>
      </c>
      <c r="H8" s="27" t="s">
        <v>271</v>
      </c>
    </row>
    <row r="9" spans="1:8" x14ac:dyDescent="0.35">
      <c r="A9" s="8" t="s">
        <v>272</v>
      </c>
      <c r="D9" s="56">
        <v>100</v>
      </c>
      <c r="E9" s="56">
        <v>100</v>
      </c>
      <c r="F9" s="48">
        <v>1200000</v>
      </c>
      <c r="G9" s="54">
        <f>F9</f>
        <v>1200000</v>
      </c>
      <c r="H9" s="45">
        <v>1</v>
      </c>
    </row>
    <row r="10" spans="1:8" x14ac:dyDescent="0.35">
      <c r="A10" s="57">
        <v>1</v>
      </c>
      <c r="B10" s="23">
        <f t="shared" ref="B10:B24" si="0">cpi_meas</f>
        <v>4.0685333333333337E-2</v>
      </c>
      <c r="C10" s="23">
        <f t="shared" ref="C10:C24" si="1">cpi_lived</f>
        <v>0.11325000000000003</v>
      </c>
      <c r="D10" s="56">
        <f t="shared" ref="D10:D24" si="2">D9*(1+B10)</f>
        <v>104.06853333333332</v>
      </c>
      <c r="E10" s="56">
        <f t="shared" ref="E10:E24" si="3">E9*(1+C10)</f>
        <v>111.325</v>
      </c>
      <c r="F10" s="54">
        <f t="shared" ref="F10:F24" si="4">F9*(1+B10)</f>
        <v>1248822.3999999999</v>
      </c>
      <c r="G10" s="54">
        <f t="shared" ref="G10:G24" si="5">F10/(E10/100)</f>
        <v>1121780.7320907251</v>
      </c>
      <c r="H10" s="52">
        <f t="shared" ref="H10:H24" si="6">G10/$F$9</f>
        <v>0.93481727674227089</v>
      </c>
    </row>
    <row r="11" spans="1:8" x14ac:dyDescent="0.35">
      <c r="A11" s="57">
        <v>2</v>
      </c>
      <c r="B11" s="23">
        <f t="shared" si="0"/>
        <v>4.0685333333333337E-2</v>
      </c>
      <c r="C11" s="23">
        <f t="shared" si="1"/>
        <v>0.11325000000000003</v>
      </c>
      <c r="D11" s="56">
        <f t="shared" si="2"/>
        <v>108.30259630151109</v>
      </c>
      <c r="E11" s="56">
        <f t="shared" si="3"/>
        <v>123.93255625</v>
      </c>
      <c r="F11" s="54">
        <f t="shared" si="4"/>
        <v>1299631.155618133</v>
      </c>
      <c r="G11" s="54">
        <f t="shared" si="5"/>
        <v>1048660.0090750027</v>
      </c>
      <c r="H11" s="52">
        <f t="shared" si="6"/>
        <v>0.87388334089583564</v>
      </c>
    </row>
    <row r="12" spans="1:8" x14ac:dyDescent="0.35">
      <c r="A12" s="57">
        <v>3</v>
      </c>
      <c r="B12" s="23">
        <f t="shared" si="0"/>
        <v>4.0685333333333337E-2</v>
      </c>
      <c r="C12" s="23">
        <f t="shared" si="1"/>
        <v>0.11325000000000003</v>
      </c>
      <c r="D12" s="56">
        <f t="shared" si="2"/>
        <v>112.70892353290348</v>
      </c>
      <c r="E12" s="56">
        <f t="shared" si="3"/>
        <v>137.96791824531252</v>
      </c>
      <c r="F12" s="54">
        <f t="shared" si="4"/>
        <v>1352507.0823948418</v>
      </c>
      <c r="G12" s="54">
        <f t="shared" si="5"/>
        <v>980305.4939120193</v>
      </c>
      <c r="H12" s="52">
        <f t="shared" si="6"/>
        <v>0.81692124492668272</v>
      </c>
    </row>
    <row r="13" spans="1:8" x14ac:dyDescent="0.35">
      <c r="A13" s="57">
        <v>4</v>
      </c>
      <c r="B13" s="23">
        <f t="shared" si="0"/>
        <v>4.0685333333333337E-2</v>
      </c>
      <c r="C13" s="23">
        <f t="shared" si="1"/>
        <v>0.11325000000000003</v>
      </c>
      <c r="D13" s="56">
        <f t="shared" si="2"/>
        <v>117.29452365648083</v>
      </c>
      <c r="E13" s="56">
        <f t="shared" si="3"/>
        <v>153.59278498659418</v>
      </c>
      <c r="F13" s="54">
        <f t="shared" si="4"/>
        <v>1407534.28387777</v>
      </c>
      <c r="G13" s="54">
        <f t="shared" si="5"/>
        <v>916406.51219432068</v>
      </c>
      <c r="H13" s="52">
        <f t="shared" si="6"/>
        <v>0.76367209349526721</v>
      </c>
    </row>
    <row r="14" spans="1:8" x14ac:dyDescent="0.35">
      <c r="A14" s="58">
        <v>5</v>
      </c>
      <c r="B14" s="59">
        <f t="shared" si="0"/>
        <v>4.0685333333333337E-2</v>
      </c>
      <c r="C14" s="59">
        <f t="shared" si="1"/>
        <v>0.11325000000000003</v>
      </c>
      <c r="D14" s="60">
        <f t="shared" si="2"/>
        <v>122.0666904496193</v>
      </c>
      <c r="E14" s="60">
        <f t="shared" si="3"/>
        <v>170.98716788632598</v>
      </c>
      <c r="F14" s="61">
        <f t="shared" si="4"/>
        <v>1464800.2853954316</v>
      </c>
      <c r="G14" s="61">
        <f t="shared" si="5"/>
        <v>856672.64011837763</v>
      </c>
      <c r="H14" s="62">
        <f t="shared" si="6"/>
        <v>0.71389386676531474</v>
      </c>
    </row>
    <row r="15" spans="1:8" x14ac:dyDescent="0.35">
      <c r="A15" s="57">
        <v>6</v>
      </c>
      <c r="B15" s="23">
        <f t="shared" si="0"/>
        <v>4.0685333333333337E-2</v>
      </c>
      <c r="C15" s="23">
        <f t="shared" si="1"/>
        <v>0.11325000000000003</v>
      </c>
      <c r="D15" s="56">
        <f t="shared" si="2"/>
        <v>127.03301443945887</v>
      </c>
      <c r="E15" s="56">
        <f t="shared" si="3"/>
        <v>190.3514646494524</v>
      </c>
      <c r="F15" s="54">
        <f t="shared" si="4"/>
        <v>1524396.1732735063</v>
      </c>
      <c r="G15" s="54">
        <f t="shared" si="5"/>
        <v>800832.38449507335</v>
      </c>
      <c r="H15" s="52">
        <f t="shared" si="6"/>
        <v>0.6673603204125611</v>
      </c>
    </row>
    <row r="16" spans="1:8" x14ac:dyDescent="0.35">
      <c r="A16" s="57">
        <v>7</v>
      </c>
      <c r="B16" s="23">
        <f t="shared" si="0"/>
        <v>4.0685333333333337E-2</v>
      </c>
      <c r="C16" s="23">
        <f t="shared" si="1"/>
        <v>0.11325000000000003</v>
      </c>
      <c r="D16" s="56">
        <f t="shared" si="2"/>
        <v>132.20139497626639</v>
      </c>
      <c r="E16" s="56">
        <f t="shared" si="3"/>
        <v>211.90876802100289</v>
      </c>
      <c r="F16" s="54">
        <f t="shared" si="4"/>
        <v>1586416.7397151967</v>
      </c>
      <c r="G16" s="54">
        <f t="shared" si="5"/>
        <v>748631.94880070398</v>
      </c>
      <c r="H16" s="52">
        <f t="shared" si="6"/>
        <v>0.62385995733391997</v>
      </c>
    </row>
    <row r="17" spans="1:8" x14ac:dyDescent="0.35">
      <c r="A17" s="57">
        <v>8</v>
      </c>
      <c r="B17" s="23">
        <f t="shared" si="0"/>
        <v>4.0685333333333337E-2</v>
      </c>
      <c r="C17" s="23">
        <f t="shared" si="1"/>
        <v>0.11325000000000003</v>
      </c>
      <c r="D17" s="56">
        <f t="shared" si="2"/>
        <v>137.58005279800744</v>
      </c>
      <c r="E17" s="56">
        <f t="shared" si="3"/>
        <v>235.90743599938148</v>
      </c>
      <c r="F17" s="54">
        <f t="shared" si="4"/>
        <v>1650960.6335760893</v>
      </c>
      <c r="G17" s="54">
        <f t="shared" si="5"/>
        <v>699834.07966013323</v>
      </c>
      <c r="H17" s="52">
        <f t="shared" si="6"/>
        <v>0.58319506638344432</v>
      </c>
    </row>
    <row r="18" spans="1:8" x14ac:dyDescent="0.35">
      <c r="A18" s="57">
        <v>9</v>
      </c>
      <c r="B18" s="23">
        <f t="shared" si="0"/>
        <v>4.0685333333333337E-2</v>
      </c>
      <c r="C18" s="23">
        <f t="shared" si="1"/>
        <v>0.11325000000000003</v>
      </c>
      <c r="D18" s="56">
        <f t="shared" si="2"/>
        <v>143.17754310611195</v>
      </c>
      <c r="E18" s="56">
        <f t="shared" si="3"/>
        <v>262.62395312631145</v>
      </c>
      <c r="F18" s="54">
        <f t="shared" si="4"/>
        <v>1718130.5172733434</v>
      </c>
      <c r="G18" s="54">
        <f t="shared" si="5"/>
        <v>654216.98851931933</v>
      </c>
      <c r="H18" s="52">
        <f t="shared" si="6"/>
        <v>0.54518082376609944</v>
      </c>
    </row>
    <row r="19" spans="1:8" x14ac:dyDescent="0.35">
      <c r="A19" s="58">
        <v>10</v>
      </c>
      <c r="B19" s="59">
        <f t="shared" si="0"/>
        <v>4.0685333333333337E-2</v>
      </c>
      <c r="C19" s="59">
        <f t="shared" si="1"/>
        <v>0.11325000000000003</v>
      </c>
      <c r="D19" s="60">
        <f t="shared" si="2"/>
        <v>149.0027691732318</v>
      </c>
      <c r="E19" s="60">
        <f t="shared" si="3"/>
        <v>292.36611581786622</v>
      </c>
      <c r="F19" s="61">
        <f t="shared" si="4"/>
        <v>1788033.2300787817</v>
      </c>
      <c r="G19" s="61">
        <f t="shared" si="5"/>
        <v>611573.34360615967</v>
      </c>
      <c r="H19" s="62">
        <f t="shared" si="6"/>
        <v>0.50964445300513306</v>
      </c>
    </row>
    <row r="20" spans="1:8" x14ac:dyDescent="0.35">
      <c r="A20" s="57">
        <v>11</v>
      </c>
      <c r="B20" s="23">
        <f t="shared" si="0"/>
        <v>4.0685333333333337E-2</v>
      </c>
      <c r="C20" s="23">
        <f t="shared" si="1"/>
        <v>0.11325000000000003</v>
      </c>
      <c r="D20" s="56">
        <f t="shared" si="2"/>
        <v>155.06499650463445</v>
      </c>
      <c r="E20" s="56">
        <f t="shared" si="3"/>
        <v>325.47657843423957</v>
      </c>
      <c r="F20" s="54">
        <f t="shared" si="4"/>
        <v>1860779.9580556136</v>
      </c>
      <c r="G20" s="54">
        <f t="shared" si="5"/>
        <v>571709.32759807538</v>
      </c>
      <c r="H20" s="52">
        <f t="shared" si="6"/>
        <v>0.47642443966506282</v>
      </c>
    </row>
    <row r="21" spans="1:8" x14ac:dyDescent="0.35">
      <c r="A21" s="57">
        <v>12</v>
      </c>
      <c r="B21" s="23">
        <f t="shared" si="0"/>
        <v>4.0685333333333337E-2</v>
      </c>
      <c r="C21" s="23">
        <f t="shared" si="1"/>
        <v>0.11325000000000003</v>
      </c>
      <c r="D21" s="56">
        <f t="shared" si="2"/>
        <v>161.37386757575766</v>
      </c>
      <c r="E21" s="56">
        <f t="shared" si="3"/>
        <v>362.3368009419172</v>
      </c>
      <c r="F21" s="54">
        <f t="shared" si="4"/>
        <v>1936486.4109090921</v>
      </c>
      <c r="G21" s="54">
        <f t="shared" si="5"/>
        <v>534443.75671338767</v>
      </c>
      <c r="H21" s="52">
        <f t="shared" si="6"/>
        <v>0.44536979726115639</v>
      </c>
    </row>
    <row r="22" spans="1:8" x14ac:dyDescent="0.35">
      <c r="A22" s="57">
        <v>13</v>
      </c>
      <c r="B22" s="23">
        <f t="shared" si="0"/>
        <v>4.0685333333333337E-2</v>
      </c>
      <c r="C22" s="23">
        <f t="shared" si="1"/>
        <v>0.11325000000000003</v>
      </c>
      <c r="D22" s="56">
        <f t="shared" si="2"/>
        <v>167.93941716936652</v>
      </c>
      <c r="E22" s="56">
        <f t="shared" si="3"/>
        <v>403.37144364858938</v>
      </c>
      <c r="F22" s="54">
        <f t="shared" si="4"/>
        <v>2015273.0060323987</v>
      </c>
      <c r="G22" s="54">
        <f t="shared" si="5"/>
        <v>499607.25722271798</v>
      </c>
      <c r="H22" s="52">
        <f t="shared" si="6"/>
        <v>0.41633938101893164</v>
      </c>
    </row>
    <row r="23" spans="1:8" x14ac:dyDescent="0.35">
      <c r="A23" s="57">
        <v>14</v>
      </c>
      <c r="B23" s="23">
        <f t="shared" si="0"/>
        <v>4.0685333333333337E-2</v>
      </c>
      <c r="C23" s="23">
        <f t="shared" si="1"/>
        <v>0.11325000000000003</v>
      </c>
      <c r="D23" s="56">
        <f t="shared" si="2"/>
        <v>174.7720883367079</v>
      </c>
      <c r="E23" s="56">
        <f t="shared" si="3"/>
        <v>449.05325964179218</v>
      </c>
      <c r="F23" s="54">
        <f t="shared" si="4"/>
        <v>2097265.0600404954</v>
      </c>
      <c r="G23" s="54">
        <f t="shared" si="5"/>
        <v>467041.49563761643</v>
      </c>
      <c r="H23" s="52">
        <f t="shared" si="6"/>
        <v>0.38920124636468034</v>
      </c>
    </row>
    <row r="24" spans="1:8" x14ac:dyDescent="0.35">
      <c r="A24" s="63">
        <v>15</v>
      </c>
      <c r="B24" s="64">
        <f t="shared" si="0"/>
        <v>4.0685333333333337E-2</v>
      </c>
      <c r="C24" s="64">
        <f t="shared" si="1"/>
        <v>0.11325000000000003</v>
      </c>
      <c r="D24" s="65">
        <f t="shared" si="2"/>
        <v>181.88274900804961</v>
      </c>
      <c r="E24" s="65">
        <f t="shared" si="3"/>
        <v>499.90854129622517</v>
      </c>
      <c r="F24" s="66">
        <f t="shared" si="4"/>
        <v>2182592.9880965962</v>
      </c>
      <c r="G24" s="66">
        <f t="shared" si="5"/>
        <v>436598.45907759387</v>
      </c>
      <c r="H24" s="67">
        <f t="shared" si="6"/>
        <v>0.36383204923132823</v>
      </c>
    </row>
    <row r="26" spans="1:8" ht="18" customHeight="1" x14ac:dyDescent="0.35">
      <c r="A26" s="7" t="s">
        <v>273</v>
      </c>
      <c r="B26" s="7"/>
      <c r="C26" s="7"/>
      <c r="D26" s="7"/>
      <c r="E26" s="7"/>
      <c r="F26" s="7"/>
      <c r="G26" s="7"/>
      <c r="H26" s="7"/>
    </row>
    <row r="27" spans="1:8" x14ac:dyDescent="0.35">
      <c r="A27" s="20" t="s">
        <v>274</v>
      </c>
      <c r="B27" s="40"/>
      <c r="C27" s="40"/>
      <c r="D27" s="52">
        <f>D24/D9-1</f>
        <v>0.81882749008049616</v>
      </c>
      <c r="E27" s="72" t="s">
        <v>275</v>
      </c>
      <c r="F27" s="69"/>
      <c r="G27" s="69"/>
      <c r="H27" s="69"/>
    </row>
    <row r="28" spans="1:8" x14ac:dyDescent="0.35">
      <c r="A28" s="20" t="s">
        <v>276</v>
      </c>
      <c r="B28" s="40"/>
      <c r="C28" s="40"/>
      <c r="D28" s="52">
        <f>E24/E9-1</f>
        <v>3.999085412962252</v>
      </c>
      <c r="E28" s="72" t="s">
        <v>277</v>
      </c>
      <c r="F28" s="69"/>
      <c r="G28" s="69"/>
      <c r="H28" s="69"/>
    </row>
    <row r="29" spans="1:8" x14ac:dyDescent="0.35">
      <c r="A29" s="20" t="s">
        <v>278</v>
      </c>
      <c r="B29" s="40"/>
      <c r="C29" s="40"/>
      <c r="D29" s="52">
        <f>E24/D24-1</f>
        <v>1.7485209236314141</v>
      </c>
      <c r="E29" s="72" t="s">
        <v>279</v>
      </c>
      <c r="F29" s="69"/>
      <c r="G29" s="69"/>
      <c r="H29" s="69"/>
    </row>
    <row r="30" spans="1:8" x14ac:dyDescent="0.35">
      <c r="A30" s="20" t="s">
        <v>280</v>
      </c>
      <c r="B30" s="40"/>
      <c r="C30" s="40"/>
      <c r="D30" s="52">
        <f>H24</f>
        <v>0.36383204923132823</v>
      </c>
    </row>
    <row r="31" spans="1:8" x14ac:dyDescent="0.35">
      <c r="A31" s="20" t="s">
        <v>281</v>
      </c>
      <c r="B31" s="40"/>
      <c r="C31" s="40"/>
      <c r="D31" s="52">
        <f>1-H24</f>
        <v>0.63616795076867172</v>
      </c>
      <c r="E31" s="72" t="s">
        <v>282</v>
      </c>
      <c r="F31" s="69"/>
      <c r="G31" s="69"/>
      <c r="H31" s="69"/>
    </row>
    <row r="32" spans="1:8" x14ac:dyDescent="0.35">
      <c r="A32" s="20" t="s">
        <v>283</v>
      </c>
      <c r="B32" s="40"/>
      <c r="C32" s="40"/>
      <c r="D32" s="55">
        <f>IF(COUNTIF($H$9:$H$24,"&gt;0.5")&gt;15,"beyond year 15",COUNTIF($H$9:$H$24,"&gt;0.5"))</f>
        <v>11</v>
      </c>
      <c r="E32" s="72" t="s">
        <v>284</v>
      </c>
      <c r="F32" s="69"/>
      <c r="G32" s="69"/>
      <c r="H32" s="69"/>
    </row>
    <row r="34" spans="1:8" ht="15" customHeight="1" x14ac:dyDescent="0.35">
      <c r="A34" s="68" t="s">
        <v>285</v>
      </c>
      <c r="B34" s="69"/>
      <c r="C34" s="69"/>
      <c r="D34" s="69"/>
      <c r="E34" s="69"/>
      <c r="F34" s="69"/>
      <c r="G34" s="69"/>
      <c r="H34" s="69"/>
    </row>
    <row r="35" spans="1:8" x14ac:dyDescent="0.35">
      <c r="A35" s="69"/>
      <c r="B35" s="69"/>
      <c r="C35" s="69"/>
      <c r="D35" s="69"/>
      <c r="E35" s="69"/>
      <c r="F35" s="69"/>
      <c r="G35" s="69"/>
      <c r="H35" s="69"/>
    </row>
    <row r="36" spans="1:8" x14ac:dyDescent="0.35">
      <c r="A36" s="69"/>
      <c r="B36" s="69"/>
      <c r="C36" s="69"/>
      <c r="D36" s="69"/>
      <c r="E36" s="69"/>
      <c r="F36" s="69"/>
      <c r="G36" s="69"/>
      <c r="H36" s="69"/>
    </row>
  </sheetData>
  <mergeCells count="9">
    <mergeCell ref="A4:H4"/>
    <mergeCell ref="A34:H36"/>
    <mergeCell ref="E31:H31"/>
    <mergeCell ref="E29:H29"/>
    <mergeCell ref="A5:H5"/>
    <mergeCell ref="E32:H32"/>
    <mergeCell ref="E27:H27"/>
    <mergeCell ref="E28:H28"/>
    <mergeCell ref="A6:H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21</vt:i4>
      </vt:variant>
    </vt:vector>
  </HeadingPairs>
  <TitlesOfParts>
    <vt:vector size="28" baseType="lpstr">
      <vt:lpstr>README</vt:lpstr>
      <vt:lpstr>Analogy</vt:lpstr>
      <vt:lpstr>Summary</vt:lpstr>
      <vt:lpstr>Basket</vt:lpstr>
      <vt:lpstr>Adjustments</vt:lpstr>
      <vt:lpstr>Your_Basket</vt:lpstr>
      <vt:lpstr>Over_Time</vt:lpstr>
      <vt:lpstr>adj_hed</vt:lpstr>
      <vt:lpstr>adj_sub</vt:lpstr>
      <vt:lpstr>adj_tot</vt:lpstr>
      <vt:lpstr>cat_name</vt:lpstr>
      <vt:lpstr>cpi_gap</vt:lpstr>
      <vt:lpstr>cpi_lived</vt:lpstr>
      <vt:lpstr>cpi_meas</vt:lpstr>
      <vt:lpstr>cpi_raw</vt:lpstr>
      <vt:lpstr>half_year</vt:lpstr>
      <vt:lpstr>idx_wt_tot</vt:lpstr>
      <vt:lpstr>ot_hh</vt:lpstr>
      <vt:lpstr>ot_idx</vt:lpstr>
      <vt:lpstr>pp_kept</vt:lpstr>
      <vt:lpstr>px_chg</vt:lpstr>
      <vt:lpstr>w_hh</vt:lpstr>
      <vt:lpstr>w_idx</vt:lpstr>
      <vt:lpstr>yb_diff</vt:lpstr>
      <vt:lpstr>yb_gap</vt:lpstr>
      <vt:lpstr>yb_inc</vt:lpstr>
      <vt:lpstr>yb_infl</vt:lpstr>
      <vt:lpstr>yb_spend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Standard Basket - the working model</dc:title>
  <dc:creator>Kunal Kunde</dc:creator>
  <dc:description>One set of prices weighted two ways. Companion to Standard_Basket_for_Inflation.mp4.</dc:description>
  <cp:lastModifiedBy>Kunal Kunde</cp:lastModifiedBy>
  <dcterms:created xsi:type="dcterms:W3CDTF">2026-09-07T08:18:57Z</dcterms:created>
  <dcterms:modified xsi:type="dcterms:W3CDTF">2026-09-11T13:07:05Z</dcterms:modified>
</cp:coreProperties>
</file>